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nja\Downloads\"/>
    </mc:Choice>
  </mc:AlternateContent>
  <xr:revisionPtr revIDLastSave="0" documentId="8_{4FEF3B7B-9854-4FCE-B50E-A609FBBB7D7A}"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kpi" sheetId="2" r:id="rId2"/>
    <sheet name="Dashboard" sheetId="3" r:id="rId3"/>
  </sheets>
  <definedNames>
    <definedName name="Slicer_Category">#N/A</definedName>
    <definedName name="Slicer_Delivery_Status">#N/A</definedName>
    <definedName name="Slicer_Month">#N/A</definedName>
    <definedName name="Slicer_Payment_Method">#N/A</definedName>
    <definedName name="Slicer_Stat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91" i="2" l="1"/>
  <c r="L20" i="2"/>
  <c r="L15" i="2"/>
  <c r="L10" i="2"/>
  <c r="L6" i="2"/>
</calcChain>
</file>

<file path=xl/sharedStrings.xml><?xml version="1.0" encoding="utf-8"?>
<sst xmlns="http://schemas.openxmlformats.org/spreadsheetml/2006/main" count="12743" uniqueCount="1481">
  <si>
    <t>Order ID</t>
  </si>
  <si>
    <t>Order Date</t>
  </si>
  <si>
    <t>Customer Name</t>
  </si>
  <si>
    <t>State</t>
  </si>
  <si>
    <t>City</t>
  </si>
  <si>
    <t>Category</t>
  </si>
  <si>
    <t>Sub-Category</t>
  </si>
  <si>
    <t>Product Name</t>
  </si>
  <si>
    <t>Brand</t>
  </si>
  <si>
    <t>Quantity Sold</t>
  </si>
  <si>
    <t>Price (INR)</t>
  </si>
  <si>
    <t>Discount %</t>
  </si>
  <si>
    <t>Total Sales (INR)</t>
  </si>
  <si>
    <t>Cost Price (INR)</t>
  </si>
  <si>
    <t>Profit (INR)</t>
  </si>
  <si>
    <t>Payment Method</t>
  </si>
  <si>
    <t>Customer Rating</t>
  </si>
  <si>
    <t>Delivery Status</t>
  </si>
  <si>
    <t>Month</t>
  </si>
  <si>
    <t>Year</t>
  </si>
  <si>
    <t>ORD00001</t>
  </si>
  <si>
    <t>2024-09-12</t>
  </si>
  <si>
    <t>Rahul Sharma</t>
  </si>
  <si>
    <t>Delhi</t>
  </si>
  <si>
    <t>New Delhi</t>
  </si>
  <si>
    <t>Books</t>
  </si>
  <si>
    <t>Educational</t>
  </si>
  <si>
    <t>Educational Book</t>
  </si>
  <si>
    <t>HarperCollins</t>
  </si>
  <si>
    <t>Debit Card</t>
  </si>
  <si>
    <t>Delivered</t>
  </si>
  <si>
    <t>September</t>
  </si>
  <si>
    <t>ORD00002</t>
  </si>
  <si>
    <t>2024-12-18</t>
  </si>
  <si>
    <t>Anjali Gupta</t>
  </si>
  <si>
    <t>West Bengal</t>
  </si>
  <si>
    <t>Kolkata</t>
  </si>
  <si>
    <t>Clothing</t>
  </si>
  <si>
    <t>General</t>
  </si>
  <si>
    <t>Jeans</t>
  </si>
  <si>
    <t>Generic</t>
  </si>
  <si>
    <t>UPI</t>
  </si>
  <si>
    <t>December</t>
  </si>
  <si>
    <t>ORD00003</t>
  </si>
  <si>
    <t>2024-05-18</t>
  </si>
  <si>
    <t>Beauty</t>
  </si>
  <si>
    <t>Skincare</t>
  </si>
  <si>
    <t>Face Cream</t>
  </si>
  <si>
    <t>Mamaearth</t>
  </si>
  <si>
    <t>May</t>
  </si>
  <si>
    <t>ORD00004</t>
  </si>
  <si>
    <t>2024-11-08</t>
  </si>
  <si>
    <t>Gujarat</t>
  </si>
  <si>
    <t>Ahmedabad</t>
  </si>
  <si>
    <t>Electronics</t>
  </si>
  <si>
    <t>Laptops</t>
  </si>
  <si>
    <t>Smartwatch</t>
  </si>
  <si>
    <t>Lenovo</t>
  </si>
  <si>
    <t>November</t>
  </si>
  <si>
    <t>ORD00005</t>
  </si>
  <si>
    <t>2024-12-27</t>
  </si>
  <si>
    <t>Priya Patel</t>
  </si>
  <si>
    <t>Home &amp; Kitchen</t>
  </si>
  <si>
    <t>Cookware</t>
  </si>
  <si>
    <t>Cookware Set</t>
  </si>
  <si>
    <t>Prestige</t>
  </si>
  <si>
    <t>Cancelled</t>
  </si>
  <si>
    <t>ORD00006</t>
  </si>
  <si>
    <t>2024-10-22</t>
  </si>
  <si>
    <t>Karnataka</t>
  </si>
  <si>
    <t>Mysuru</t>
  </si>
  <si>
    <t>Storage</t>
  </si>
  <si>
    <t>Mixer Grinder</t>
  </si>
  <si>
    <t>Wallet</t>
  </si>
  <si>
    <t>October</t>
  </si>
  <si>
    <t>ORD00007</t>
  </si>
  <si>
    <t>2024-07-04</t>
  </si>
  <si>
    <t>Sneakers</t>
  </si>
  <si>
    <t>July</t>
  </si>
  <si>
    <t>ORD00008</t>
  </si>
  <si>
    <t>Pooja Nair</t>
  </si>
  <si>
    <t>Maharashtra</t>
  </si>
  <si>
    <t>Nagpur</t>
  </si>
  <si>
    <t>Table Lamp</t>
  </si>
  <si>
    <t>ORD00009</t>
  </si>
  <si>
    <t>2025-01-18</t>
  </si>
  <si>
    <t>Jacket</t>
  </si>
  <si>
    <t>January</t>
  </si>
  <si>
    <t>ORD00010</t>
  </si>
  <si>
    <t>2024-03-14</t>
  </si>
  <si>
    <t>Sneha Iyer</t>
  </si>
  <si>
    <t>Headphones</t>
  </si>
  <si>
    <t>Tablet</t>
  </si>
  <si>
    <t>Apple</t>
  </si>
  <si>
    <t>March</t>
  </si>
  <si>
    <t>ORD00011</t>
  </si>
  <si>
    <t>2025-02-08</t>
  </si>
  <si>
    <t>Neha Singh</t>
  </si>
  <si>
    <t>Telangana</t>
  </si>
  <si>
    <t>Hyderabad</t>
  </si>
  <si>
    <t>Perfume</t>
  </si>
  <si>
    <t>Lakme</t>
  </si>
  <si>
    <t>February</t>
  </si>
  <si>
    <t>ORD00012</t>
  </si>
  <si>
    <t>2024-04-13</t>
  </si>
  <si>
    <t>Makeup</t>
  </si>
  <si>
    <t>Lipstick</t>
  </si>
  <si>
    <t>April</t>
  </si>
  <si>
    <t>ORD00013</t>
  </si>
  <si>
    <t>2024-02-23</t>
  </si>
  <si>
    <t>Surat</t>
  </si>
  <si>
    <t>Fiction</t>
  </si>
  <si>
    <t>Penguin</t>
  </si>
  <si>
    <t>COD</t>
  </si>
  <si>
    <t>ORD00014</t>
  </si>
  <si>
    <t>2024-06-02</t>
  </si>
  <si>
    <t>Amit Kumar</t>
  </si>
  <si>
    <t>Smartphone</t>
  </si>
  <si>
    <t>HP</t>
  </si>
  <si>
    <t>June</t>
  </si>
  <si>
    <t>ORD00015</t>
  </si>
  <si>
    <t>Comic Book</t>
  </si>
  <si>
    <t>Credit Card</t>
  </si>
  <si>
    <t>ORD00016</t>
  </si>
  <si>
    <t>2024-03-30</t>
  </si>
  <si>
    <t>Uttar Pradesh</t>
  </si>
  <si>
    <t>Lucknow</t>
  </si>
  <si>
    <t>ORD00017</t>
  </si>
  <si>
    <t>Mumbai</t>
  </si>
  <si>
    <t>Cookbook</t>
  </si>
  <si>
    <t>ORD00018</t>
  </si>
  <si>
    <t>2024-04-22</t>
  </si>
  <si>
    <t>Tamil Nadu</t>
  </si>
  <si>
    <t>Chennai</t>
  </si>
  <si>
    <t>ORD00019</t>
  </si>
  <si>
    <t>2024-03-22</t>
  </si>
  <si>
    <t>Rohit Verma</t>
  </si>
  <si>
    <t>ORD00020</t>
  </si>
  <si>
    <t>2025-01-06</t>
  </si>
  <si>
    <t>Noida</t>
  </si>
  <si>
    <t>T-Shirt</t>
  </si>
  <si>
    <t>ORD00021</t>
  </si>
  <si>
    <t>2024-07-09</t>
  </si>
  <si>
    <t>Pigeon</t>
  </si>
  <si>
    <t>Net Banking</t>
  </si>
  <si>
    <t>ORD00022</t>
  </si>
  <si>
    <t>2025-01-22</t>
  </si>
  <si>
    <t>ORD00023</t>
  </si>
  <si>
    <t>2024-06-23</t>
  </si>
  <si>
    <t>Pune</t>
  </si>
  <si>
    <t>ORD00024</t>
  </si>
  <si>
    <t>2024-03-19</t>
  </si>
  <si>
    <t>Bedsheet</t>
  </si>
  <si>
    <t>ORD00025</t>
  </si>
  <si>
    <t>2024-11-24</t>
  </si>
  <si>
    <t>Bengaluru</t>
  </si>
  <si>
    <t>ORD00026</t>
  </si>
  <si>
    <t>2024-07-23</t>
  </si>
  <si>
    <t>Coimbatore</t>
  </si>
  <si>
    <t>Returned</t>
  </si>
  <si>
    <t>ORD00027</t>
  </si>
  <si>
    <t>2024-08-24</t>
  </si>
  <si>
    <t>August</t>
  </si>
  <si>
    <t>ORD00028</t>
  </si>
  <si>
    <t>2024-07-21</t>
  </si>
  <si>
    <t>Milton</t>
  </si>
  <si>
    <t>ORD00029</t>
  </si>
  <si>
    <t>2024-04-16</t>
  </si>
  <si>
    <t>Arjun Mehta</t>
  </si>
  <si>
    <t>Maybelline</t>
  </si>
  <si>
    <t>ORD00030</t>
  </si>
  <si>
    <t>2024-08-05</t>
  </si>
  <si>
    <t>ORD00031</t>
  </si>
  <si>
    <t>2024-04-14</t>
  </si>
  <si>
    <t>ORD00032</t>
  </si>
  <si>
    <t>2024-10-17</t>
  </si>
  <si>
    <t>Hair Dryer</t>
  </si>
  <si>
    <t>ORD00033</t>
  </si>
  <si>
    <t>2024-10-01</t>
  </si>
  <si>
    <t>Laptop</t>
  </si>
  <si>
    <t>Boat</t>
  </si>
  <si>
    <t>ORD00034</t>
  </si>
  <si>
    <t>2024-07-15</t>
  </si>
  <si>
    <t>ORD00035</t>
  </si>
  <si>
    <t>2024-05-01</t>
  </si>
  <si>
    <t>Samsung</t>
  </si>
  <si>
    <t>ORD00036</t>
  </si>
  <si>
    <t>2024-06-10</t>
  </si>
  <si>
    <t>Shampoo</t>
  </si>
  <si>
    <t>ORD00037</t>
  </si>
  <si>
    <t>2024-06-27</t>
  </si>
  <si>
    <t>ORD00038</t>
  </si>
  <si>
    <t>2024-07-31</t>
  </si>
  <si>
    <t>ORD00039</t>
  </si>
  <si>
    <t>2024-10-26</t>
  </si>
  <si>
    <t>ORD00040</t>
  </si>
  <si>
    <t>ORD00041</t>
  </si>
  <si>
    <t>2024-02-12</t>
  </si>
  <si>
    <t>ORD00042</t>
  </si>
  <si>
    <t>2024-06-06</t>
  </si>
  <si>
    <t>Karan Shah</t>
  </si>
  <si>
    <t>Smartwatches</t>
  </si>
  <si>
    <t>ORD00043</t>
  </si>
  <si>
    <t>2024-12-14</t>
  </si>
  <si>
    <t>ORD00044</t>
  </si>
  <si>
    <t>2024-10-09</t>
  </si>
  <si>
    <t>ORD00045</t>
  </si>
  <si>
    <t>ORD00046</t>
  </si>
  <si>
    <t>2024-02-15</t>
  </si>
  <si>
    <t>ORD00047</t>
  </si>
  <si>
    <t>2024-07-25</t>
  </si>
  <si>
    <t>ORD00048</t>
  </si>
  <si>
    <t>2024-06-22</t>
  </si>
  <si>
    <t>ORD00049</t>
  </si>
  <si>
    <t>2024-11-28</t>
  </si>
  <si>
    <t>ORD00050</t>
  </si>
  <si>
    <t>2024-08-11</t>
  </si>
  <si>
    <t>ORD00051</t>
  </si>
  <si>
    <t>2024-09-10</t>
  </si>
  <si>
    <t>ORD00052</t>
  </si>
  <si>
    <t>2024-10-30</t>
  </si>
  <si>
    <t>Fiction Novel</t>
  </si>
  <si>
    <t>ORD00053</t>
  </si>
  <si>
    <t>2024-11-11</t>
  </si>
  <si>
    <t>ORD00054</t>
  </si>
  <si>
    <t>2024-11-22</t>
  </si>
  <si>
    <t>ORD00055</t>
  </si>
  <si>
    <t>2024-10-04</t>
  </si>
  <si>
    <t>Smartphones</t>
  </si>
  <si>
    <t>ORD00056</t>
  </si>
  <si>
    <t>2024-04-04</t>
  </si>
  <si>
    <t>ORD00057</t>
  </si>
  <si>
    <t>2024-09-03</t>
  </si>
  <si>
    <t>ORD00058</t>
  </si>
  <si>
    <t>2024-05-16</t>
  </si>
  <si>
    <t>Self-Help Book</t>
  </si>
  <si>
    <t>ORD00059</t>
  </si>
  <si>
    <t>2024-08-30</t>
  </si>
  <si>
    <t>ORD00060</t>
  </si>
  <si>
    <t>2024-06-13</t>
  </si>
  <si>
    <t>ORD00061</t>
  </si>
  <si>
    <t>2024-07-28</t>
  </si>
  <si>
    <t>ORD00062</t>
  </si>
  <si>
    <t>2024-07-10</t>
  </si>
  <si>
    <t>ORD00063</t>
  </si>
  <si>
    <t>ORD00064</t>
  </si>
  <si>
    <t>2025-01-02</t>
  </si>
  <si>
    <t>ORD00065</t>
  </si>
  <si>
    <t>2024-12-22</t>
  </si>
  <si>
    <t>ORD00066</t>
  </si>
  <si>
    <t>ORD00067</t>
  </si>
  <si>
    <t>2024-05-06</t>
  </si>
  <si>
    <t>ORD00068</t>
  </si>
  <si>
    <t>2024-02-26</t>
  </si>
  <si>
    <t>ORD00069</t>
  </si>
  <si>
    <t>2024-04-08</t>
  </si>
  <si>
    <t>ORD00070</t>
  </si>
  <si>
    <t>2024-04-28</t>
  </si>
  <si>
    <t>ORD00071</t>
  </si>
  <si>
    <t>2024-03-24</t>
  </si>
  <si>
    <t>ORD00072</t>
  </si>
  <si>
    <t>2024-07-05</t>
  </si>
  <si>
    <t>ORD00073</t>
  </si>
  <si>
    <t>2024-09-07</t>
  </si>
  <si>
    <t>ORD00074</t>
  </si>
  <si>
    <t>2024-02-13</t>
  </si>
  <si>
    <t>ORD00075</t>
  </si>
  <si>
    <t>2024-08-25</t>
  </si>
  <si>
    <t>ORD00076</t>
  </si>
  <si>
    <t>2024-03-25</t>
  </si>
  <si>
    <t>ORD00077</t>
  </si>
  <si>
    <t>Sofa Cover</t>
  </si>
  <si>
    <t>ORD00078</t>
  </si>
  <si>
    <t>2024-06-30</t>
  </si>
  <si>
    <t>ORD00079</t>
  </si>
  <si>
    <t>2024-07-16</t>
  </si>
  <si>
    <t>ORD00080</t>
  </si>
  <si>
    <t>ORD00081</t>
  </si>
  <si>
    <t>2025-02-09</t>
  </si>
  <si>
    <t>ORD00082</t>
  </si>
  <si>
    <t>2024-12-10</t>
  </si>
  <si>
    <t>ORD00083</t>
  </si>
  <si>
    <t>2024-11-07</t>
  </si>
  <si>
    <t>ORD00084</t>
  </si>
  <si>
    <t>ORD00085</t>
  </si>
  <si>
    <t>2024-12-03</t>
  </si>
  <si>
    <t>ORD00086</t>
  </si>
  <si>
    <t>2024-10-27</t>
  </si>
  <si>
    <t>ORD00087</t>
  </si>
  <si>
    <t>2024-05-30</t>
  </si>
  <si>
    <t>ORD00088</t>
  </si>
  <si>
    <t>2024-04-12</t>
  </si>
  <si>
    <t>ORD00089</t>
  </si>
  <si>
    <t>2024-06-28</t>
  </si>
  <si>
    <t>ORD00090</t>
  </si>
  <si>
    <t>2024-09-24</t>
  </si>
  <si>
    <t>Sony</t>
  </si>
  <si>
    <t>ORD00091</t>
  </si>
  <si>
    <t>2024-04-01</t>
  </si>
  <si>
    <t>ORD00092</t>
  </si>
  <si>
    <t>2024-11-23</t>
  </si>
  <si>
    <t>ORD00093</t>
  </si>
  <si>
    <t>ORD00094</t>
  </si>
  <si>
    <t>2024-05-23</t>
  </si>
  <si>
    <t>ORD00095</t>
  </si>
  <si>
    <t>2025-01-12</t>
  </si>
  <si>
    <t>ORD00096</t>
  </si>
  <si>
    <t>2025-01-28</t>
  </si>
  <si>
    <t>ORD00097</t>
  </si>
  <si>
    <t>2024-05-31</t>
  </si>
  <si>
    <t>ORD00098</t>
  </si>
  <si>
    <t>2025-02-02</t>
  </si>
  <si>
    <t>ORD00099</t>
  </si>
  <si>
    <t>2024-12-06</t>
  </si>
  <si>
    <t>ORD00100</t>
  </si>
  <si>
    <t>2024-09-05</t>
  </si>
  <si>
    <t>ORD00101</t>
  </si>
  <si>
    <t>ORD00102</t>
  </si>
  <si>
    <t>ORD00103</t>
  </si>
  <si>
    <t>2024-07-07</t>
  </si>
  <si>
    <t>ORD00104</t>
  </si>
  <si>
    <t>2024-07-14</t>
  </si>
  <si>
    <t>ORD00105</t>
  </si>
  <si>
    <t>2024-09-22</t>
  </si>
  <si>
    <t>ORD00106</t>
  </si>
  <si>
    <t>2024-05-10</t>
  </si>
  <si>
    <t>ORD00107</t>
  </si>
  <si>
    <t>Dress</t>
  </si>
  <si>
    <t>ORD00108</t>
  </si>
  <si>
    <t>2024-05-04</t>
  </si>
  <si>
    <t>ORD00109</t>
  </si>
  <si>
    <t>2024-06-25</t>
  </si>
  <si>
    <t>ORD00110</t>
  </si>
  <si>
    <t>2024-08-04</t>
  </si>
  <si>
    <t>ORD00111</t>
  </si>
  <si>
    <t>2024-09-11</t>
  </si>
  <si>
    <t>ORD00112</t>
  </si>
  <si>
    <t>2024-12-23</t>
  </si>
  <si>
    <t>ORD00113</t>
  </si>
  <si>
    <t>ORD00114</t>
  </si>
  <si>
    <t>2024-10-07</t>
  </si>
  <si>
    <t>ORD00115</t>
  </si>
  <si>
    <t>ORD00116</t>
  </si>
  <si>
    <t>2024-05-25</t>
  </si>
  <si>
    <t>ORD00117</t>
  </si>
  <si>
    <t>ORD00118</t>
  </si>
  <si>
    <t>2024-07-18</t>
  </si>
  <si>
    <t>ORD00119</t>
  </si>
  <si>
    <t>ORD00120</t>
  </si>
  <si>
    <t>2025-01-15</t>
  </si>
  <si>
    <t>ORD00121</t>
  </si>
  <si>
    <t>ORD00122</t>
  </si>
  <si>
    <t>2024-05-27</t>
  </si>
  <si>
    <t>ORD00123</t>
  </si>
  <si>
    <t>2024-03-21</t>
  </si>
  <si>
    <t>ORD00124</t>
  </si>
  <si>
    <t>2024-04-21</t>
  </si>
  <si>
    <t>ORD00125</t>
  </si>
  <si>
    <t>2024-09-13</t>
  </si>
  <si>
    <t>ORD00126</t>
  </si>
  <si>
    <t>2024-08-26</t>
  </si>
  <si>
    <t>ORD00127</t>
  </si>
  <si>
    <t>2024-10-02</t>
  </si>
  <si>
    <t>ORD00128</t>
  </si>
  <si>
    <t>2024-05-02</t>
  </si>
  <si>
    <t>ORD00129</t>
  </si>
  <si>
    <t>2024-08-10</t>
  </si>
  <si>
    <t>ORD00130</t>
  </si>
  <si>
    <t>2024-06-17</t>
  </si>
  <si>
    <t>ORD00131</t>
  </si>
  <si>
    <t>2025-01-11</t>
  </si>
  <si>
    <t>ORD00132</t>
  </si>
  <si>
    <t>2024-04-20</t>
  </si>
  <si>
    <t>ORD00133</t>
  </si>
  <si>
    <t>ORD00134</t>
  </si>
  <si>
    <t>ORD00135</t>
  </si>
  <si>
    <t>ORD00136</t>
  </si>
  <si>
    <t>2024-06-01</t>
  </si>
  <si>
    <t>ORD00137</t>
  </si>
  <si>
    <t>2024-10-28</t>
  </si>
  <si>
    <t>ORD00138</t>
  </si>
  <si>
    <t>ORD00139</t>
  </si>
  <si>
    <t>2025-02-03</t>
  </si>
  <si>
    <t>ORD00140</t>
  </si>
  <si>
    <t>ORD00141</t>
  </si>
  <si>
    <t>2025-01-01</t>
  </si>
  <si>
    <t>ORD00142</t>
  </si>
  <si>
    <t>2025-01-27</t>
  </si>
  <si>
    <t>ORD00143</t>
  </si>
  <si>
    <t>2024-09-19</t>
  </si>
  <si>
    <t>ORD00144</t>
  </si>
  <si>
    <t>ORD00145</t>
  </si>
  <si>
    <t>2024-03-04</t>
  </si>
  <si>
    <t>ORD00146</t>
  </si>
  <si>
    <t>ORD00147</t>
  </si>
  <si>
    <t>2024-05-11</t>
  </si>
  <si>
    <t>ORD00148</t>
  </si>
  <si>
    <t>2024-08-21</t>
  </si>
  <si>
    <t>ORD00149</t>
  </si>
  <si>
    <t>2024-09-27</t>
  </si>
  <si>
    <t>ORD00150</t>
  </si>
  <si>
    <t>2024-12-31</t>
  </si>
  <si>
    <t>ORD00151</t>
  </si>
  <si>
    <t>ORD00152</t>
  </si>
  <si>
    <t>2024-02-20</t>
  </si>
  <si>
    <t>ORD00153</t>
  </si>
  <si>
    <t>2024-03-23</t>
  </si>
  <si>
    <t>ORD00154</t>
  </si>
  <si>
    <t>ORD00155</t>
  </si>
  <si>
    <t>2024-11-21</t>
  </si>
  <si>
    <t>ORD00156</t>
  </si>
  <si>
    <t>ORD00157</t>
  </si>
  <si>
    <t>ORD00158</t>
  </si>
  <si>
    <t>ORD00159</t>
  </si>
  <si>
    <t>2025-01-05</t>
  </si>
  <si>
    <t>ORD00160</t>
  </si>
  <si>
    <t>2024-08-06</t>
  </si>
  <si>
    <t>ORD00161</t>
  </si>
  <si>
    <t>ORD00162</t>
  </si>
  <si>
    <t>ORD00163</t>
  </si>
  <si>
    <t>2024-10-18</t>
  </si>
  <si>
    <t>ORD00164</t>
  </si>
  <si>
    <t>ORD00165</t>
  </si>
  <si>
    <t>2024-12-20</t>
  </si>
  <si>
    <t>ORD00166</t>
  </si>
  <si>
    <t>ORD00167</t>
  </si>
  <si>
    <t>2024-04-11</t>
  </si>
  <si>
    <t>ORD00168</t>
  </si>
  <si>
    <t>ORD00169</t>
  </si>
  <si>
    <t>2024-11-29</t>
  </si>
  <si>
    <t>ORD00170</t>
  </si>
  <si>
    <t>2024-06-03</t>
  </si>
  <si>
    <t>ORD00171</t>
  </si>
  <si>
    <t>ORD00172</t>
  </si>
  <si>
    <t>ORD00173</t>
  </si>
  <si>
    <t>2025-01-14</t>
  </si>
  <si>
    <t>ORD00174</t>
  </si>
  <si>
    <t>ORD00175</t>
  </si>
  <si>
    <t>ORD00176</t>
  </si>
  <si>
    <t>ORD00177</t>
  </si>
  <si>
    <t>2024-07-22</t>
  </si>
  <si>
    <t>ORD00178</t>
  </si>
  <si>
    <t>2024-07-29</t>
  </si>
  <si>
    <t>ORD00179</t>
  </si>
  <si>
    <t>2025-01-24</t>
  </si>
  <si>
    <t>ORD00180</t>
  </si>
  <si>
    <t>ORD00181</t>
  </si>
  <si>
    <t>2024-12-04</t>
  </si>
  <si>
    <t>ORD00182</t>
  </si>
  <si>
    <t>ORD00183</t>
  </si>
  <si>
    <t>2024-03-05</t>
  </si>
  <si>
    <t>ORD00184</t>
  </si>
  <si>
    <t>ORD00185</t>
  </si>
  <si>
    <t>ORD00186</t>
  </si>
  <si>
    <t>ORD00187</t>
  </si>
  <si>
    <t>2024-08-31</t>
  </si>
  <si>
    <t>ORD00188</t>
  </si>
  <si>
    <t>2024-12-02</t>
  </si>
  <si>
    <t>ORD00189</t>
  </si>
  <si>
    <t>ORD00190</t>
  </si>
  <si>
    <t>ORD00191</t>
  </si>
  <si>
    <t>2024-03-06</t>
  </si>
  <si>
    <t>ORD00192</t>
  </si>
  <si>
    <t>2024-12-19</t>
  </si>
  <si>
    <t>ORD00193</t>
  </si>
  <si>
    <t>2024-08-02</t>
  </si>
  <si>
    <t>ORD00194</t>
  </si>
  <si>
    <t>2024-05-14</t>
  </si>
  <si>
    <t>ORD00195</t>
  </si>
  <si>
    <t>ORD00196</t>
  </si>
  <si>
    <t>ORD00197</t>
  </si>
  <si>
    <t>2024-09-04</t>
  </si>
  <si>
    <t>ORD00198</t>
  </si>
  <si>
    <t>2024-05-09</t>
  </si>
  <si>
    <t>ORD00199</t>
  </si>
  <si>
    <t>2024-02-18</t>
  </si>
  <si>
    <t>ORD00200</t>
  </si>
  <si>
    <t>2024-09-30</t>
  </si>
  <si>
    <t>ORD00201</t>
  </si>
  <si>
    <t>2024-07-11</t>
  </si>
  <si>
    <t>ORD00202</t>
  </si>
  <si>
    <t>ORD00203</t>
  </si>
  <si>
    <t>2024-10-24</t>
  </si>
  <si>
    <t>ORD00204</t>
  </si>
  <si>
    <t>2024-10-16</t>
  </si>
  <si>
    <t>ORD00205</t>
  </si>
  <si>
    <t>2024-08-23</t>
  </si>
  <si>
    <t>ORD00206</t>
  </si>
  <si>
    <t>2024-03-27</t>
  </si>
  <si>
    <t>ORD00207</t>
  </si>
  <si>
    <t>ORD00208</t>
  </si>
  <si>
    <t>2024-11-02</t>
  </si>
  <si>
    <t>ORD00209</t>
  </si>
  <si>
    <t>ORD00210</t>
  </si>
  <si>
    <t>ORD00211</t>
  </si>
  <si>
    <t>2024-09-02</t>
  </si>
  <si>
    <t>ORD00212</t>
  </si>
  <si>
    <t>2024-10-05</t>
  </si>
  <si>
    <t>ORD00213</t>
  </si>
  <si>
    <t>2024-04-05</t>
  </si>
  <si>
    <t>ORD00214</t>
  </si>
  <si>
    <t>ORD00215</t>
  </si>
  <si>
    <t>2024-11-14</t>
  </si>
  <si>
    <t>ORD00216</t>
  </si>
  <si>
    <t>2024-12-26</t>
  </si>
  <si>
    <t>ORD00217</t>
  </si>
  <si>
    <t>2024-06-08</t>
  </si>
  <si>
    <t>ORD00218</t>
  </si>
  <si>
    <t>2024-09-18</t>
  </si>
  <si>
    <t>ORD00219</t>
  </si>
  <si>
    <t>2024-07-19</t>
  </si>
  <si>
    <t>ORD00220</t>
  </si>
  <si>
    <t>ORD00221</t>
  </si>
  <si>
    <t>ORD00222</t>
  </si>
  <si>
    <t>ORD00223</t>
  </si>
  <si>
    <t>ORD00224</t>
  </si>
  <si>
    <t>ORD00225</t>
  </si>
  <si>
    <t>2024-04-06</t>
  </si>
  <si>
    <t>ORD00226</t>
  </si>
  <si>
    <t>2025-01-30</t>
  </si>
  <si>
    <t>ORD00227</t>
  </si>
  <si>
    <t>2024-12-28</t>
  </si>
  <si>
    <t>ORD00228</t>
  </si>
  <si>
    <t>ORD00229</t>
  </si>
  <si>
    <t>ORD00230</t>
  </si>
  <si>
    <t>ORD00231</t>
  </si>
  <si>
    <t>ORD00232</t>
  </si>
  <si>
    <t>2024-05-20</t>
  </si>
  <si>
    <t>ORD00233</t>
  </si>
  <si>
    <t>2024-09-09</t>
  </si>
  <si>
    <t>ORD00234</t>
  </si>
  <si>
    <t>ORD00235</t>
  </si>
  <si>
    <t>ORD00236</t>
  </si>
  <si>
    <t>ORD00237</t>
  </si>
  <si>
    <t>ORD00238</t>
  </si>
  <si>
    <t>2024-10-19</t>
  </si>
  <si>
    <t>ORD00239</t>
  </si>
  <si>
    <t>ORD00240</t>
  </si>
  <si>
    <t>2024-06-18</t>
  </si>
  <si>
    <t>ORD00241</t>
  </si>
  <si>
    <t>ORD00242</t>
  </si>
  <si>
    <t>2024-11-13</t>
  </si>
  <si>
    <t>ORD00243</t>
  </si>
  <si>
    <t>2024-08-12</t>
  </si>
  <si>
    <t>ORD00244</t>
  </si>
  <si>
    <t>2024-08-17</t>
  </si>
  <si>
    <t>ORD00245</t>
  </si>
  <si>
    <t>2024-05-15</t>
  </si>
  <si>
    <t>ORD00246</t>
  </si>
  <si>
    <t>2024-06-16</t>
  </si>
  <si>
    <t>ORD00247</t>
  </si>
  <si>
    <t>2024-06-15</t>
  </si>
  <si>
    <t>ORD00248</t>
  </si>
  <si>
    <t>ORD00249</t>
  </si>
  <si>
    <t>2024-11-04</t>
  </si>
  <si>
    <t>ORD00250</t>
  </si>
  <si>
    <t>2025-02-01</t>
  </si>
  <si>
    <t>ORD00251</t>
  </si>
  <si>
    <t>ORD00252</t>
  </si>
  <si>
    <t>2024-03-28</t>
  </si>
  <si>
    <t>ORD00253</t>
  </si>
  <si>
    <t>2024-12-11</t>
  </si>
  <si>
    <t>ORD00254</t>
  </si>
  <si>
    <t>ORD00255</t>
  </si>
  <si>
    <t>2024-09-15</t>
  </si>
  <si>
    <t>ORD00256</t>
  </si>
  <si>
    <t>ORD00257</t>
  </si>
  <si>
    <t>2024-02-24</t>
  </si>
  <si>
    <t>ORD00258</t>
  </si>
  <si>
    <t>2024-11-15</t>
  </si>
  <si>
    <t>ORD00259</t>
  </si>
  <si>
    <t>2024-08-16</t>
  </si>
  <si>
    <t>ORD00260</t>
  </si>
  <si>
    <t>ORD00261</t>
  </si>
  <si>
    <t>2024-10-06</t>
  </si>
  <si>
    <t>ORD00262</t>
  </si>
  <si>
    <t>2024-09-01</t>
  </si>
  <si>
    <t>ORD00263</t>
  </si>
  <si>
    <t>2024-09-06</t>
  </si>
  <si>
    <t>ORD00264</t>
  </si>
  <si>
    <t>2024-05-22</t>
  </si>
  <si>
    <t>ORD00265</t>
  </si>
  <si>
    <t>2024-03-03</t>
  </si>
  <si>
    <t>ORD00266</t>
  </si>
  <si>
    <t>2024-05-19</t>
  </si>
  <si>
    <t>ORD00267</t>
  </si>
  <si>
    <t>ORD00268</t>
  </si>
  <si>
    <t>ORD00269</t>
  </si>
  <si>
    <t>ORD00270</t>
  </si>
  <si>
    <t>2024-12-12</t>
  </si>
  <si>
    <t>ORD00271</t>
  </si>
  <si>
    <t>2024-03-26</t>
  </si>
  <si>
    <t>ORD00272</t>
  </si>
  <si>
    <t>2024-08-09</t>
  </si>
  <si>
    <t>ORD00273</t>
  </si>
  <si>
    <t>ORD00274</t>
  </si>
  <si>
    <t>2024-02-21</t>
  </si>
  <si>
    <t>ORD00275</t>
  </si>
  <si>
    <t>2024-05-29</t>
  </si>
  <si>
    <t>ORD00276</t>
  </si>
  <si>
    <t>2024-07-13</t>
  </si>
  <si>
    <t>ORD00277</t>
  </si>
  <si>
    <t>ORD00278</t>
  </si>
  <si>
    <t>2025-02-07</t>
  </si>
  <si>
    <t>ORD00279</t>
  </si>
  <si>
    <t>2024-04-02</t>
  </si>
  <si>
    <t>ORD00280</t>
  </si>
  <si>
    <t>2025-01-23</t>
  </si>
  <si>
    <t>ORD00281</t>
  </si>
  <si>
    <t>2025-01-10</t>
  </si>
  <si>
    <t>ORD00282</t>
  </si>
  <si>
    <t>ORD00283</t>
  </si>
  <si>
    <t>2024-11-09</t>
  </si>
  <si>
    <t>ORD00284</t>
  </si>
  <si>
    <t>2024-11-10</t>
  </si>
  <si>
    <t>ORD00285</t>
  </si>
  <si>
    <t>ORD00286</t>
  </si>
  <si>
    <t>2024-04-27</t>
  </si>
  <si>
    <t>ORD00287</t>
  </si>
  <si>
    <t>2025-02-06</t>
  </si>
  <si>
    <t>ORD00288</t>
  </si>
  <si>
    <t>2024-07-02</t>
  </si>
  <si>
    <t>ORD00289</t>
  </si>
  <si>
    <t>ORD00290</t>
  </si>
  <si>
    <t>ORD00291</t>
  </si>
  <si>
    <t>2024-11-05</t>
  </si>
  <si>
    <t>ORD00292</t>
  </si>
  <si>
    <t>2024-11-01</t>
  </si>
  <si>
    <t>ORD00293</t>
  </si>
  <si>
    <t>ORD00294</t>
  </si>
  <si>
    <t>ORD00295</t>
  </si>
  <si>
    <t>ORD00296</t>
  </si>
  <si>
    <t>2024-11-25</t>
  </si>
  <si>
    <t>ORD00297</t>
  </si>
  <si>
    <t>2024-12-08</t>
  </si>
  <si>
    <t>ORD00298</t>
  </si>
  <si>
    <t>ORD00299</t>
  </si>
  <si>
    <t>ORD00300</t>
  </si>
  <si>
    <t>2024-09-20</t>
  </si>
  <si>
    <t>ORD00301</t>
  </si>
  <si>
    <t>2024-06-21</t>
  </si>
  <si>
    <t>ORD00302</t>
  </si>
  <si>
    <t>2024-07-08</t>
  </si>
  <si>
    <t>ORD00303</t>
  </si>
  <si>
    <t>ORD00304</t>
  </si>
  <si>
    <t>ORD00305</t>
  </si>
  <si>
    <t>ORD00306</t>
  </si>
  <si>
    <t>ORD00307</t>
  </si>
  <si>
    <t>ORD00308</t>
  </si>
  <si>
    <t>ORD00309</t>
  </si>
  <si>
    <t>ORD00310</t>
  </si>
  <si>
    <t>ORD00311</t>
  </si>
  <si>
    <t>ORD00312</t>
  </si>
  <si>
    <t>ORD00313</t>
  </si>
  <si>
    <t>ORD00314</t>
  </si>
  <si>
    <t>2024-03-07</t>
  </si>
  <si>
    <t>ORD00315</t>
  </si>
  <si>
    <t>ORD00316</t>
  </si>
  <si>
    <t>ORD00317</t>
  </si>
  <si>
    <t>2024-11-30</t>
  </si>
  <si>
    <t>ORD00318</t>
  </si>
  <si>
    <t>ORD00319</t>
  </si>
  <si>
    <t>ORD00320</t>
  </si>
  <si>
    <t>ORD00321</t>
  </si>
  <si>
    <t>2024-10-13</t>
  </si>
  <si>
    <t>ORD00322</t>
  </si>
  <si>
    <t>ORD00323</t>
  </si>
  <si>
    <t>2024-10-10</t>
  </si>
  <si>
    <t>ORD00324</t>
  </si>
  <si>
    <t>2024-04-07</t>
  </si>
  <si>
    <t>ORD00325</t>
  </si>
  <si>
    <t>ORD00326</t>
  </si>
  <si>
    <t>2024-02-19</t>
  </si>
  <si>
    <t>ORD00327</t>
  </si>
  <si>
    <t>ORD00328</t>
  </si>
  <si>
    <t>2025-01-08</t>
  </si>
  <si>
    <t>ORD00329</t>
  </si>
  <si>
    <t>2024-04-03</t>
  </si>
  <si>
    <t>ORD00330</t>
  </si>
  <si>
    <t>ORD00331</t>
  </si>
  <si>
    <t>2025-01-29</t>
  </si>
  <si>
    <t>ORD00332</t>
  </si>
  <si>
    <t>ORD00333</t>
  </si>
  <si>
    <t>2024-08-27</t>
  </si>
  <si>
    <t>ORD00334</t>
  </si>
  <si>
    <t>ORD00335</t>
  </si>
  <si>
    <t>ORD00336</t>
  </si>
  <si>
    <t>2024-02-28</t>
  </si>
  <si>
    <t>ORD00337</t>
  </si>
  <si>
    <t>2024-06-05</t>
  </si>
  <si>
    <t>ORD00338</t>
  </si>
  <si>
    <t>2024-08-14</t>
  </si>
  <si>
    <t>ORD00339</t>
  </si>
  <si>
    <t>ORD00340</t>
  </si>
  <si>
    <t>ORD00341</t>
  </si>
  <si>
    <t>ORD00342</t>
  </si>
  <si>
    <t>ORD00343</t>
  </si>
  <si>
    <t>ORD00344</t>
  </si>
  <si>
    <t>2024-05-03</t>
  </si>
  <si>
    <t>ORD00345</t>
  </si>
  <si>
    <t>ORD00346</t>
  </si>
  <si>
    <t>2025-01-25</t>
  </si>
  <si>
    <t>ORD00347</t>
  </si>
  <si>
    <t>ORD00348</t>
  </si>
  <si>
    <t>2024-09-28</t>
  </si>
  <si>
    <t>ORD00349</t>
  </si>
  <si>
    <t>ORD00350</t>
  </si>
  <si>
    <t>2024-10-15</t>
  </si>
  <si>
    <t>ORD00351</t>
  </si>
  <si>
    <t>ORD00352</t>
  </si>
  <si>
    <t>ORD00353</t>
  </si>
  <si>
    <t>ORD00354</t>
  </si>
  <si>
    <t>2024-12-30</t>
  </si>
  <si>
    <t>ORD00355</t>
  </si>
  <si>
    <t>2024-03-09</t>
  </si>
  <si>
    <t>ORD00356</t>
  </si>
  <si>
    <t>2024-03-20</t>
  </si>
  <si>
    <t>ORD00357</t>
  </si>
  <si>
    <t>ORD00358</t>
  </si>
  <si>
    <t>2024-03-15</t>
  </si>
  <si>
    <t>ORD00359</t>
  </si>
  <si>
    <t>ORD00360</t>
  </si>
  <si>
    <t>2024-09-21</t>
  </si>
  <si>
    <t>ORD00361</t>
  </si>
  <si>
    <t>ORD00362</t>
  </si>
  <si>
    <t>2024-05-26</t>
  </si>
  <si>
    <t>ORD00363</t>
  </si>
  <si>
    <t>ORD00364</t>
  </si>
  <si>
    <t>ORD00365</t>
  </si>
  <si>
    <t>ORD00366</t>
  </si>
  <si>
    <t>ORD00367</t>
  </si>
  <si>
    <t>ORD00368</t>
  </si>
  <si>
    <t>ORD00369</t>
  </si>
  <si>
    <t>2024-11-26</t>
  </si>
  <si>
    <t>ORD00370</t>
  </si>
  <si>
    <t>ORD00371</t>
  </si>
  <si>
    <t>ORD00372</t>
  </si>
  <si>
    <t>2024-05-28</t>
  </si>
  <si>
    <t>ORD00373</t>
  </si>
  <si>
    <t>ORD00374</t>
  </si>
  <si>
    <t>2025-01-07</t>
  </si>
  <si>
    <t>ORD00375</t>
  </si>
  <si>
    <t>2024-04-17</t>
  </si>
  <si>
    <t>ORD00376</t>
  </si>
  <si>
    <t>ORD00377</t>
  </si>
  <si>
    <t>2024-06-12</t>
  </si>
  <si>
    <t>ORD00378</t>
  </si>
  <si>
    <t>2024-05-12</t>
  </si>
  <si>
    <t>ORD00379</t>
  </si>
  <si>
    <t>2024-07-03</t>
  </si>
  <si>
    <t>ORD00380</t>
  </si>
  <si>
    <t>ORD00381</t>
  </si>
  <si>
    <t>2025-01-19</t>
  </si>
  <si>
    <t>ORD00382</t>
  </si>
  <si>
    <t>ORD00383</t>
  </si>
  <si>
    <t>ORD00384</t>
  </si>
  <si>
    <t>2024-02-17</t>
  </si>
  <si>
    <t>ORD00385</t>
  </si>
  <si>
    <t>ORD00386</t>
  </si>
  <si>
    <t>2024-07-17</t>
  </si>
  <si>
    <t>ORD00387</t>
  </si>
  <si>
    <t>ORD00388</t>
  </si>
  <si>
    <t>ORD00389</t>
  </si>
  <si>
    <t>ORD00390</t>
  </si>
  <si>
    <t>2024-06-04</t>
  </si>
  <si>
    <t>ORD00391</t>
  </si>
  <si>
    <t>ORD00392</t>
  </si>
  <si>
    <t>ORD00393</t>
  </si>
  <si>
    <t>ORD00394</t>
  </si>
  <si>
    <t>2024-03-12</t>
  </si>
  <si>
    <t>ORD00395</t>
  </si>
  <si>
    <t>ORD00396</t>
  </si>
  <si>
    <t>2024-03-10</t>
  </si>
  <si>
    <t>ORD00397</t>
  </si>
  <si>
    <t>ORD00398</t>
  </si>
  <si>
    <t>2024-04-19</t>
  </si>
  <si>
    <t>ORD00399</t>
  </si>
  <si>
    <t>ORD00400</t>
  </si>
  <si>
    <t>2024-08-13</t>
  </si>
  <si>
    <t>ORD00401</t>
  </si>
  <si>
    <t>ORD00402</t>
  </si>
  <si>
    <t>2024-07-27</t>
  </si>
  <si>
    <t>ORD00403</t>
  </si>
  <si>
    <t>ORD00404</t>
  </si>
  <si>
    <t>2024-04-15</t>
  </si>
  <si>
    <t>ORD00405</t>
  </si>
  <si>
    <t>ORD00406</t>
  </si>
  <si>
    <t>ORD00407</t>
  </si>
  <si>
    <t>ORD00408</t>
  </si>
  <si>
    <t>ORD00409</t>
  </si>
  <si>
    <t>ORD00410</t>
  </si>
  <si>
    <t>2024-12-16</t>
  </si>
  <si>
    <t>ORD00411</t>
  </si>
  <si>
    <t>ORD00412</t>
  </si>
  <si>
    <t>ORD00413</t>
  </si>
  <si>
    <t>2024-12-09</t>
  </si>
  <si>
    <t>ORD00414</t>
  </si>
  <si>
    <t>2024-08-18</t>
  </si>
  <si>
    <t>ORD00415</t>
  </si>
  <si>
    <t>ORD00416</t>
  </si>
  <si>
    <t>ORD00417</t>
  </si>
  <si>
    <t>ORD00418</t>
  </si>
  <si>
    <t>ORD00419</t>
  </si>
  <si>
    <t>ORD00420</t>
  </si>
  <si>
    <t>ORD00421</t>
  </si>
  <si>
    <t>2024-06-09</t>
  </si>
  <si>
    <t>ORD00422</t>
  </si>
  <si>
    <t>ORD00423</t>
  </si>
  <si>
    <t>ORD00424</t>
  </si>
  <si>
    <t>2024-10-25</t>
  </si>
  <si>
    <t>ORD00425</t>
  </si>
  <si>
    <t>2024-08-20</t>
  </si>
  <si>
    <t>ORD00426</t>
  </si>
  <si>
    <t>2024-02-22</t>
  </si>
  <si>
    <t>ORD00427</t>
  </si>
  <si>
    <t>2024-05-05</t>
  </si>
  <si>
    <t>ORD00428</t>
  </si>
  <si>
    <t>ORD00429</t>
  </si>
  <si>
    <t>ORD00430</t>
  </si>
  <si>
    <t>ORD00431</t>
  </si>
  <si>
    <t>2024-03-13</t>
  </si>
  <si>
    <t>ORD00432</t>
  </si>
  <si>
    <t>2024-04-10</t>
  </si>
  <si>
    <t>ORD00433</t>
  </si>
  <si>
    <t>2024-03-31</t>
  </si>
  <si>
    <t>ORD00434</t>
  </si>
  <si>
    <t>ORD00435</t>
  </si>
  <si>
    <t>ORD00436</t>
  </si>
  <si>
    <t>ORD00437</t>
  </si>
  <si>
    <t>2024-04-23</t>
  </si>
  <si>
    <t>ORD00438</t>
  </si>
  <si>
    <t>ORD00439</t>
  </si>
  <si>
    <t>ORD00440</t>
  </si>
  <si>
    <t>ORD00441</t>
  </si>
  <si>
    <t>2024-03-17</t>
  </si>
  <si>
    <t>ORD00442</t>
  </si>
  <si>
    <t>ORD00443</t>
  </si>
  <si>
    <t>ORD00444</t>
  </si>
  <si>
    <t>2024-09-16</t>
  </si>
  <si>
    <t>ORD00445</t>
  </si>
  <si>
    <t>ORD00446</t>
  </si>
  <si>
    <t>ORD00447</t>
  </si>
  <si>
    <t>ORD00448</t>
  </si>
  <si>
    <t>ORD00449</t>
  </si>
  <si>
    <t>ORD00450</t>
  </si>
  <si>
    <t>ORD00451</t>
  </si>
  <si>
    <t>ORD00452</t>
  </si>
  <si>
    <t>ORD00453</t>
  </si>
  <si>
    <t>ORD00454</t>
  </si>
  <si>
    <t>ORD00455</t>
  </si>
  <si>
    <t>2024-05-24</t>
  </si>
  <si>
    <t>ORD00456</t>
  </si>
  <si>
    <t>ORD00457</t>
  </si>
  <si>
    <t>ORD00458</t>
  </si>
  <si>
    <t>ORD00459</t>
  </si>
  <si>
    <t>2024-11-27</t>
  </si>
  <si>
    <t>ORD00460</t>
  </si>
  <si>
    <t>2024-04-26</t>
  </si>
  <si>
    <t>ORD00461</t>
  </si>
  <si>
    <t>ORD00462</t>
  </si>
  <si>
    <t>2024-07-12</t>
  </si>
  <si>
    <t>ORD00463</t>
  </si>
  <si>
    <t>ORD00464</t>
  </si>
  <si>
    <t>ORD00465</t>
  </si>
  <si>
    <t>2024-06-20</t>
  </si>
  <si>
    <t>ORD00466</t>
  </si>
  <si>
    <t>ORD00467</t>
  </si>
  <si>
    <t>ORD00468</t>
  </si>
  <si>
    <t>ORD00469</t>
  </si>
  <si>
    <t>ORD00470</t>
  </si>
  <si>
    <t>ORD00471</t>
  </si>
  <si>
    <t>ORD00472</t>
  </si>
  <si>
    <t>2024-07-24</t>
  </si>
  <si>
    <t>ORD00473</t>
  </si>
  <si>
    <t>ORD00474</t>
  </si>
  <si>
    <t>2024-09-29</t>
  </si>
  <si>
    <t>ORD00475</t>
  </si>
  <si>
    <t>ORD00476</t>
  </si>
  <si>
    <t>2024-12-15</t>
  </si>
  <si>
    <t>ORD00477</t>
  </si>
  <si>
    <t>ORD00478</t>
  </si>
  <si>
    <t>ORD00479</t>
  </si>
  <si>
    <t>ORD00480</t>
  </si>
  <si>
    <t>ORD00481</t>
  </si>
  <si>
    <t>2024-11-16</t>
  </si>
  <si>
    <t>ORD00482</t>
  </si>
  <si>
    <t>ORD00483</t>
  </si>
  <si>
    <t>2024-03-02</t>
  </si>
  <si>
    <t>ORD00484</t>
  </si>
  <si>
    <t>ORD00485</t>
  </si>
  <si>
    <t>ORD00486</t>
  </si>
  <si>
    <t>2024-10-31</t>
  </si>
  <si>
    <t>ORD00487</t>
  </si>
  <si>
    <t>ORD00488</t>
  </si>
  <si>
    <t>ORD00489</t>
  </si>
  <si>
    <t>ORD00490</t>
  </si>
  <si>
    <t>2024-11-19</t>
  </si>
  <si>
    <t>ORD00491</t>
  </si>
  <si>
    <t>ORD00492</t>
  </si>
  <si>
    <t>ORD00493</t>
  </si>
  <si>
    <t>ORD00494</t>
  </si>
  <si>
    <t>ORD00495</t>
  </si>
  <si>
    <t>ORD00496</t>
  </si>
  <si>
    <t>2024-11-03</t>
  </si>
  <si>
    <t>ORD00497</t>
  </si>
  <si>
    <t>2024-04-24</t>
  </si>
  <si>
    <t>ORD00498</t>
  </si>
  <si>
    <t>ORD00499</t>
  </si>
  <si>
    <t>ORD00500</t>
  </si>
  <si>
    <t>2024-06-26</t>
  </si>
  <si>
    <t>ORD00501</t>
  </si>
  <si>
    <t>ORD00502</t>
  </si>
  <si>
    <t>ORD00503</t>
  </si>
  <si>
    <t>ORD00504</t>
  </si>
  <si>
    <t>ORD00505</t>
  </si>
  <si>
    <t>ORD00506</t>
  </si>
  <si>
    <t>ORD00507</t>
  </si>
  <si>
    <t>ORD00508</t>
  </si>
  <si>
    <t>ORD00509</t>
  </si>
  <si>
    <t>ORD00510</t>
  </si>
  <si>
    <t>ORD00511</t>
  </si>
  <si>
    <t>2025-01-21</t>
  </si>
  <si>
    <t>ORD00512</t>
  </si>
  <si>
    <t>ORD00513</t>
  </si>
  <si>
    <t>ORD00514</t>
  </si>
  <si>
    <t>ORD00515</t>
  </si>
  <si>
    <t>ORD00516</t>
  </si>
  <si>
    <t>ORD00517</t>
  </si>
  <si>
    <t>ORD00518</t>
  </si>
  <si>
    <t>ORD00519</t>
  </si>
  <si>
    <t>ORD00520</t>
  </si>
  <si>
    <t>ORD00521</t>
  </si>
  <si>
    <t>ORD00522</t>
  </si>
  <si>
    <t>ORD00523</t>
  </si>
  <si>
    <t>ORD00524</t>
  </si>
  <si>
    <t>ORD00525</t>
  </si>
  <si>
    <t>2024-09-26</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</si>
  <si>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</si>
  <si>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</si>
  <si>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</si>
  <si>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</si>
  <si>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</si>
  <si>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</si>
  <si>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</si>
  <si>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</si>
  <si>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</si>
  <si>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</si>
  <si>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</si>
  <si>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</si>
  <si>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</si>
  <si>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</si>
  <si>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</si>
  <si>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</si>
  <si>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</si>
  <si>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</si>
  <si>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2024-05-13</t>
  </si>
  <si>
    <t>ORD00544</t>
  </si>
  <si>
    <t>2024-04-30</t>
  </si>
  <si>
    <t>ORD00545</t>
  </si>
  <si>
    <t>ORD00546</t>
  </si>
  <si>
    <t>ORD00547</t>
  </si>
  <si>
    <t>ORD00548</t>
  </si>
  <si>
    <t>ORD00549</t>
  </si>
  <si>
    <t>ORD00550</t>
  </si>
  <si>
    <t>2024-12-29</t>
  </si>
  <si>
    <t>ORD00551</t>
  </si>
  <si>
    <t>ORD00552</t>
  </si>
  <si>
    <t>ORD00553</t>
  </si>
  <si>
    <t>ORD00554</t>
  </si>
  <si>
    <t>2024-08-07</t>
  </si>
  <si>
    <t>ORD00555</t>
  </si>
  <si>
    <t>ORD00556</t>
  </si>
  <si>
    <t>ORD00557</t>
  </si>
  <si>
    <t>2024-05-17</t>
  </si>
  <si>
    <t>ORD00558</t>
  </si>
  <si>
    <t>ORD00559</t>
  </si>
  <si>
    <t>ORD00560</t>
  </si>
  <si>
    <t>2024-09-23</t>
  </si>
  <si>
    <t>ORD00561</t>
  </si>
  <si>
    <t>ORD00562</t>
  </si>
  <si>
    <t>ORD00563</t>
  </si>
  <si>
    <t>ORD00564</t>
  </si>
  <si>
    <t>ORD00565</t>
  </si>
  <si>
    <t>ORD00566</t>
  </si>
  <si>
    <t>ORD00567</t>
  </si>
  <si>
    <t>ORD00568</t>
  </si>
  <si>
    <t>ORD00569</t>
  </si>
  <si>
    <t>ORD00570</t>
  </si>
  <si>
    <t>2024-12-25</t>
  </si>
  <si>
    <t>ORD00571</t>
  </si>
  <si>
    <t>ORD00572</t>
  </si>
  <si>
    <t>ORD00573</t>
  </si>
  <si>
    <t>ORD00574</t>
  </si>
  <si>
    <t>ORD00575</t>
  </si>
  <si>
    <t>ORD00576</t>
  </si>
  <si>
    <t>ORD00577</t>
  </si>
  <si>
    <t>ORD00578</t>
  </si>
  <si>
    <t>ORD00579</t>
  </si>
  <si>
    <t>ORD00580</t>
  </si>
  <si>
    <t>ORD00581</t>
  </si>
  <si>
    <t>2024-06-19</t>
  </si>
  <si>
    <t>ORD00582</t>
  </si>
  <si>
    <t>ORD00583</t>
  </si>
  <si>
    <t>2025-01-16</t>
  </si>
  <si>
    <t>ORD00584</t>
  </si>
  <si>
    <t>ORD00585</t>
  </si>
  <si>
    <t>ORD00586</t>
  </si>
  <si>
    <t>ORD00587</t>
  </si>
  <si>
    <t>2024-05-08</t>
  </si>
  <si>
    <t>ORD00588</t>
  </si>
  <si>
    <t>ORD00589</t>
  </si>
  <si>
    <t>ORD00590</t>
  </si>
  <si>
    <t>ORD00591</t>
  </si>
  <si>
    <t>2024-04-29</t>
  </si>
  <si>
    <t>ORD00592</t>
  </si>
  <si>
    <t>ORD00593</t>
  </si>
  <si>
    <t>ORD00594</t>
  </si>
  <si>
    <t>ORD00595</t>
  </si>
  <si>
    <t>ORD00596</t>
  </si>
  <si>
    <t>ORD00597</t>
  </si>
  <si>
    <t>ORD00598</t>
  </si>
  <si>
    <t>ORD00599</t>
  </si>
  <si>
    <t>ORD00600</t>
  </si>
  <si>
    <t>ORD00601</t>
  </si>
  <si>
    <t>ORD00602</t>
  </si>
  <si>
    <t>ORD00603</t>
  </si>
  <si>
    <t>ORD00604</t>
  </si>
  <si>
    <t>ORD00605</t>
  </si>
  <si>
    <t>2025-02-05</t>
  </si>
  <si>
    <t>ORD00606</t>
  </si>
  <si>
    <t>2024-07-06</t>
  </si>
  <si>
    <t>ORD00607</t>
  </si>
  <si>
    <t>2025-01-17</t>
  </si>
  <si>
    <t>ORD00608</t>
  </si>
  <si>
    <t>ORD00609</t>
  </si>
  <si>
    <t>ORD00610</t>
  </si>
  <si>
    <t>ORD00611</t>
  </si>
  <si>
    <t>2024-07-20</t>
  </si>
  <si>
    <t>ORD00612</t>
  </si>
  <si>
    <t>ORD00613</t>
  </si>
  <si>
    <t>ORD00614</t>
  </si>
  <si>
    <t>ORD00615</t>
  </si>
  <si>
    <t>2024-08-29</t>
  </si>
  <si>
    <t>ORD00616</t>
  </si>
  <si>
    <t>ORD00617</t>
  </si>
  <si>
    <t>ORD00618</t>
  </si>
  <si>
    <t>ORD00619</t>
  </si>
  <si>
    <t>ORD00620</t>
  </si>
  <si>
    <t>ORD00621</t>
  </si>
  <si>
    <t>ORD00622</t>
  </si>
  <si>
    <t>ORD00623</t>
  </si>
  <si>
    <t>ORD00624</t>
  </si>
  <si>
    <t>ORD00625</t>
  </si>
  <si>
    <t>ORD00626</t>
  </si>
  <si>
    <t>ORD00627</t>
  </si>
  <si>
    <t>ORD00628</t>
  </si>
  <si>
    <t>ORD00629</t>
  </si>
  <si>
    <t>ORD00630</t>
  </si>
  <si>
    <t>2024-06-14</t>
  </si>
  <si>
    <t>ORD00631</t>
  </si>
  <si>
    <t>ORD00632</t>
  </si>
  <si>
    <t>ORD00633</t>
  </si>
  <si>
    <t>ORD00634</t>
  </si>
  <si>
    <t>ORD00635</t>
  </si>
  <si>
    <t>ORD00636</t>
  </si>
  <si>
    <t>ORD00637</t>
  </si>
  <si>
    <t>ORD00638</t>
  </si>
  <si>
    <t>ORD00639</t>
  </si>
  <si>
    <t>ORD00640</t>
  </si>
  <si>
    <t>ORD00641</t>
  </si>
  <si>
    <t>ORD00642</t>
  </si>
  <si>
    <t>ORD00643</t>
  </si>
  <si>
    <t>ORD00644</t>
  </si>
  <si>
    <t>ORD00645</t>
  </si>
  <si>
    <t>2024-08-08</t>
  </si>
  <si>
    <t>ORD00646</t>
  </si>
  <si>
    <t>ORD00647</t>
  </si>
  <si>
    <t>ORD00648</t>
  </si>
  <si>
    <t>ORD00649</t>
  </si>
  <si>
    <t>ORD00650</t>
  </si>
  <si>
    <t>2024-10-29</t>
  </si>
  <si>
    <t>ORD00651</t>
  </si>
  <si>
    <t>ORD00652</t>
  </si>
  <si>
    <t>ORD00653</t>
  </si>
  <si>
    <t>ORD00654</t>
  </si>
  <si>
    <t>ORD00655</t>
  </si>
  <si>
    <t>2024-04-25</t>
  </si>
  <si>
    <t>ORD00656</t>
  </si>
  <si>
    <t>ORD00657</t>
  </si>
  <si>
    <t>ORD00658</t>
  </si>
  <si>
    <t>2024-11-17</t>
  </si>
  <si>
    <t>ORD00659</t>
  </si>
  <si>
    <t>ORD00660</t>
  </si>
  <si>
    <t>ORD00661</t>
  </si>
  <si>
    <t>ORD00662</t>
  </si>
  <si>
    <t>2024-03-01</t>
  </si>
  <si>
    <t>ORD00663</t>
  </si>
  <si>
    <t>ORD00664</t>
  </si>
  <si>
    <t>ORD00665</t>
  </si>
  <si>
    <t>ORD00666</t>
  </si>
  <si>
    <t>ORD00667</t>
  </si>
  <si>
    <t>ORD00668</t>
  </si>
  <si>
    <t>ORD00669</t>
  </si>
  <si>
    <t>ORD00670</t>
  </si>
  <si>
    <t>ORD00671</t>
  </si>
  <si>
    <t>ORD00672</t>
  </si>
  <si>
    <t>ORD00673</t>
  </si>
  <si>
    <t>ORD00674</t>
  </si>
  <si>
    <t>ORD00675</t>
  </si>
  <si>
    <t>ORD00676</t>
  </si>
  <si>
    <t>2024-03-16</t>
  </si>
  <si>
    <t>ORD00677</t>
  </si>
  <si>
    <t>ORD00678</t>
  </si>
  <si>
    <t>ORD00679</t>
  </si>
  <si>
    <t>ORD00680</t>
  </si>
  <si>
    <t>ORD00681</t>
  </si>
  <si>
    <t>2024-09-08</t>
  </si>
  <si>
    <t>ORD00682</t>
  </si>
  <si>
    <t>ORD00683</t>
  </si>
  <si>
    <t>ORD00684</t>
  </si>
  <si>
    <t>ORD00685</t>
  </si>
  <si>
    <t>ORD00686</t>
  </si>
  <si>
    <t>ORD00687</t>
  </si>
  <si>
    <t>2024-11-12</t>
  </si>
  <si>
    <t>ORD00688</t>
  </si>
  <si>
    <t>ORD00689</t>
  </si>
  <si>
    <t>2025-01-26</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</si>
  <si>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</si>
  <si>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</si>
  <si>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</si>
  <si>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</si>
  <si>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</si>
  <si>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</si>
  <si>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</si>
  <si>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</si>
  <si>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</si>
  <si>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</si>
  <si>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</si>
  <si>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</si>
  <si>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</si>
  <si>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</si>
  <si>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</si>
  <si>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</si>
  <si>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2024-05-21</t>
  </si>
  <si>
    <t>ORD00706</t>
  </si>
  <si>
    <t>2024-02-27</t>
  </si>
  <si>
    <t>ORD00707</t>
  </si>
  <si>
    <t>ORD00708</t>
  </si>
  <si>
    <t>ORD00709</t>
  </si>
  <si>
    <t>2024-07-30</t>
  </si>
  <si>
    <t>ORD00710</t>
  </si>
  <si>
    <t>ORD00711</t>
  </si>
  <si>
    <t>ORD00712</t>
  </si>
  <si>
    <t>2024-05-07</t>
  </si>
  <si>
    <t>ORD00713</t>
  </si>
  <si>
    <t>ORD00714</t>
  </si>
  <si>
    <t>ORD00715</t>
  </si>
  <si>
    <t>2024-02-25</t>
  </si>
  <si>
    <t>ORD00716</t>
  </si>
  <si>
    <t>ORD00717</t>
  </si>
  <si>
    <t>ORD00718</t>
  </si>
  <si>
    <t>ORD00719</t>
  </si>
  <si>
    <t>2024-10-12</t>
  </si>
  <si>
    <t>ORD00720</t>
  </si>
  <si>
    <t>ORD00721</t>
  </si>
  <si>
    <t>2024-03-18</t>
  </si>
  <si>
    <t>ORD00722</t>
  </si>
  <si>
    <t>ORD00723</t>
  </si>
  <si>
    <t>2024-11-06</t>
  </si>
  <si>
    <t>ORD00724</t>
  </si>
  <si>
    <t>2024-10-14</t>
  </si>
  <si>
    <t>ORD00725</t>
  </si>
  <si>
    <t>2024-02-14</t>
  </si>
  <si>
    <t>ORD00726</t>
  </si>
  <si>
    <t>ORD00727</t>
  </si>
  <si>
    <t>ORD00728</t>
  </si>
  <si>
    <t>ORD00729</t>
  </si>
  <si>
    <t>ORD00730</t>
  </si>
  <si>
    <t>2024-07-26</t>
  </si>
  <si>
    <t>ORD00731</t>
  </si>
  <si>
    <t>ORD00732</t>
  </si>
  <si>
    <t>ORD00733</t>
  </si>
  <si>
    <t>ORD00734</t>
  </si>
  <si>
    <t>ORD00735</t>
  </si>
  <si>
    <t>ORD00736</t>
  </si>
  <si>
    <t>ORD00737</t>
  </si>
  <si>
    <t>2024-09-14</t>
  </si>
  <si>
    <t>ORD00738</t>
  </si>
  <si>
    <t>2024-12-01</t>
  </si>
  <si>
    <t>ORD00739</t>
  </si>
  <si>
    <t>2024-10-21</t>
  </si>
  <si>
    <t>ORD00740</t>
  </si>
  <si>
    <t>ORD00741</t>
  </si>
  <si>
    <t>ORD00742</t>
  </si>
  <si>
    <t>ORD00743</t>
  </si>
  <si>
    <t>2024-10-20</t>
  </si>
  <si>
    <t>ORD00744</t>
  </si>
  <si>
    <t>ORD00745</t>
  </si>
  <si>
    <t>ORD00746</t>
  </si>
  <si>
    <t>2024-12-13</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</si>
  <si>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</si>
  <si>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</si>
  <si>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</si>
  <si>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</si>
  <si>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</si>
  <si>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</si>
  <si>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</si>
  <si>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</si>
  <si>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</si>
  <si>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</si>
  <si>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</si>
  <si>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</si>
  <si>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</si>
  <si>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</si>
  <si>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</si>
  <si>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</si>
  <si>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</si>
  <si>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</si>
  <si>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</si>
  <si>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</si>
  <si>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</si>
  <si>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</si>
  <si>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2024-08-28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</si>
  <si>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</si>
  <si>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</si>
  <si>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</si>
  <si>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</si>
  <si>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</si>
  <si>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</si>
  <si>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</si>
  <si>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</si>
  <si>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</si>
  <si>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</si>
  <si>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</si>
  <si>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</si>
  <si>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</si>
  <si>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</si>
  <si>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</si>
  <si>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</si>
  <si>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</si>
  <si>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</si>
  <si>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</si>
  <si>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</si>
  <si>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</si>
  <si>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2024-08-01</t>
  </si>
  <si>
    <t>ORD00790</t>
  </si>
  <si>
    <t>ORD00791</t>
  </si>
  <si>
    <t>ORD00792</t>
  </si>
  <si>
    <t>ORD00793</t>
  </si>
  <si>
    <t>ORD00794</t>
  </si>
  <si>
    <t>ORD00795</t>
  </si>
  <si>
    <t>ORD00796</t>
  </si>
  <si>
    <t>ORD00797</t>
  </si>
  <si>
    <t>2024-04-09</t>
  </si>
  <si>
    <t>ORD00798</t>
  </si>
  <si>
    <t>ORD00799</t>
  </si>
  <si>
    <t>ORD00800</t>
  </si>
  <si>
    <t>ORD00801</t>
  </si>
  <si>
    <t>ORD00802</t>
  </si>
  <si>
    <t>ORD00803</t>
  </si>
  <si>
    <t>ORD00804</t>
  </si>
  <si>
    <t>ORD00805</t>
  </si>
  <si>
    <t>ORD00806</t>
  </si>
  <si>
    <t>ORD00807</t>
  </si>
  <si>
    <t>2024-12-05</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</si>
  <si>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</si>
  <si>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</si>
  <si>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</si>
  <si>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</si>
  <si>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</si>
  <si>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</si>
  <si>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</si>
  <si>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</si>
  <si>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</si>
  <si>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</si>
  <si>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</si>
  <si>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</si>
  <si>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</si>
  <si>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</si>
  <si>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</si>
  <si>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</si>
  <si>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</si>
  <si>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</si>
  <si>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</si>
  <si>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2024-11-20</t>
  </si>
  <si>
    <t>ORD00827</t>
  </si>
  <si>
    <t>ORD00828</t>
  </si>
  <si>
    <t>ORD00829</t>
  </si>
  <si>
    <t>ORD00830</t>
  </si>
  <si>
    <t>ORD00831</t>
  </si>
  <si>
    <t>ORD00832</t>
  </si>
  <si>
    <t>ORD00833</t>
  </si>
  <si>
    <t>ORD00834</t>
  </si>
  <si>
    <t>ORD00835</t>
  </si>
  <si>
    <t>ORD00836</t>
  </si>
  <si>
    <t>ORD00837</t>
  </si>
  <si>
    <t>2024-08-15</t>
  </si>
  <si>
    <t>ORD00838</t>
  </si>
  <si>
    <t>ORD00839</t>
  </si>
  <si>
    <t>ORD00840</t>
  </si>
  <si>
    <t>ORD00841</t>
  </si>
  <si>
    <t>ORD00842</t>
  </si>
  <si>
    <t>ORD00843</t>
  </si>
  <si>
    <t>ORD00844</t>
  </si>
  <si>
    <t>2025-01-03</t>
  </si>
  <si>
    <t>ORD00845</t>
  </si>
  <si>
    <t>ORD00846</t>
  </si>
  <si>
    <t>ORD00847</t>
  </si>
  <si>
    <t>ORD00848</t>
  </si>
  <si>
    <t>ORD00849</t>
  </si>
  <si>
    <t>ORD00850</t>
  </si>
  <si>
    <t>ORD00851</t>
  </si>
  <si>
    <t>2025-01-13</t>
  </si>
  <si>
    <t>ORD00852</t>
  </si>
  <si>
    <t>ORD00853</t>
  </si>
  <si>
    <t>ORD00854</t>
  </si>
  <si>
    <t>ORD00855</t>
  </si>
  <si>
    <t>ORD00856</t>
  </si>
  <si>
    <t>ORD00857</t>
  </si>
  <si>
    <t>ORD00858</t>
  </si>
  <si>
    <t>ORD00859</t>
  </si>
  <si>
    <t>ORD00860</t>
  </si>
  <si>
    <t>ORD00861</t>
  </si>
  <si>
    <t>2024-10-23</t>
  </si>
  <si>
    <t>ORD00862</t>
  </si>
  <si>
    <t>2024-04-18</t>
  </si>
  <si>
    <t>ORD00863</t>
  </si>
  <si>
    <t>ORD00864</t>
  </si>
  <si>
    <t>2024-03-29</t>
  </si>
  <si>
    <t>ORD00865</t>
  </si>
  <si>
    <t>ORD00866</t>
  </si>
  <si>
    <t>ORD00867</t>
  </si>
  <si>
    <t>ORD00868</t>
  </si>
  <si>
    <t>ORD00869</t>
  </si>
  <si>
    <t>ORD00870</t>
  </si>
  <si>
    <t>ORD00871</t>
  </si>
  <si>
    <t>ORD00872</t>
  </si>
  <si>
    <t>ORD00873</t>
  </si>
  <si>
    <t>2024-02-29</t>
  </si>
  <si>
    <t>ORD00874</t>
  </si>
  <si>
    <t>ORD00875</t>
  </si>
  <si>
    <t>ORD00876</t>
  </si>
  <si>
    <t>2024-06-07</t>
  </si>
  <si>
    <t>ORD00877</t>
  </si>
  <si>
    <t>2024-08-22</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</si>
  <si>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</si>
  <si>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</si>
  <si>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</si>
  <si>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</si>
  <si>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</si>
  <si>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</si>
  <si>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</si>
  <si>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</si>
  <si>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</si>
  <si>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</si>
  <si>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</si>
  <si>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</si>
  <si>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</si>
  <si>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</si>
  <si>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</si>
  <si>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</si>
  <si>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</si>
  <si>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</si>
  <si>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</si>
  <si>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</si>
  <si>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</si>
  <si>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</si>
  <si>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</si>
  <si>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</si>
  <si>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</si>
  <si>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</si>
  <si>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</si>
  <si>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</si>
  <si>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</si>
  <si>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</si>
  <si>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</si>
  <si>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</si>
  <si>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</si>
  <si>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</si>
  <si>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</si>
  <si>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</si>
  <si>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2024-06-24</t>
  </si>
  <si>
    <t>ORD00914</t>
  </si>
  <si>
    <t>ORD00915</t>
  </si>
  <si>
    <t>ORD00916</t>
  </si>
  <si>
    <t>ORD00917</t>
  </si>
  <si>
    <t>ORD00918</t>
  </si>
  <si>
    <t>ORD00919</t>
  </si>
  <si>
    <t>2025-02-04</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</si>
  <si>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</si>
  <si>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</si>
  <si>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</si>
  <si>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</si>
  <si>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</si>
  <si>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</si>
  <si>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</si>
  <si>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</si>
  <si>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</si>
  <si>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</si>
  <si>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</si>
  <si>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</si>
  <si>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</si>
  <si>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</si>
  <si>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</si>
  <si>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</si>
  <si>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2024-10-03</t>
  </si>
  <si>
    <t>ORD00936</t>
  </si>
  <si>
    <t>ORD00937</t>
  </si>
  <si>
    <t>2024-03-11</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</si>
  <si>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</si>
  <si>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</si>
  <si>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</si>
  <si>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</si>
  <si>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</si>
  <si>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</si>
  <si>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</si>
  <si>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</si>
  <si>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</si>
  <si>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</si>
  <si>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</si>
  <si>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</si>
  <si>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</si>
  <si>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</si>
  <si>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</si>
  <si>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</si>
  <si>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2025-01-04</t>
  </si>
  <si>
    <t>ORD00954</t>
  </si>
  <si>
    <t>ORD00955</t>
  </si>
  <si>
    <t>2024-03-08</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</si>
  <si>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</si>
  <si>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</si>
  <si>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</si>
  <si>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</si>
  <si>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</si>
  <si>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</si>
  <si>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</si>
  <si>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</si>
  <si>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</si>
  <si>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</si>
  <si>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</si>
  <si>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</si>
  <si>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</si>
  <si>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</si>
  <si>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</si>
  <si>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</si>
  <si>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</si>
  <si>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</si>
  <si>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</si>
  <si>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</si>
  <si>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</si>
  <si>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</si>
  <si>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</si>
  <si>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</si>
  <si>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</si>
  <si>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</si>
  <si>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</si>
  <si>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</si>
  <si>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</si>
  <si>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</si>
  <si>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</si>
  <si>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</si>
  <si>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</si>
  <si>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</si>
  <si>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</si>
  <si>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</si>
  <si>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</si>
  <si>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</si>
  <si>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</si>
  <si>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</si>
  <si>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</si>
  <si>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</si>
  <si>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</si>
  <si>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</si>
  <si>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</si>
  <si>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Row Labels</t>
  </si>
  <si>
    <t>Grand Total</t>
  </si>
  <si>
    <t>Sum of Total Sales (INR)</t>
  </si>
  <si>
    <t>Sum of Profit (INR)</t>
  </si>
  <si>
    <t>Count of Order ID</t>
  </si>
  <si>
    <t>Sum of Discount %</t>
  </si>
  <si>
    <t>Sum of Customer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</si>
</sst>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28"/>
      <color rgb="FFFFFFFF"/>
      <name val="Calibri"/>
      <family val="2"/>
      <scheme val="minor"/>
    </font>
  </fonts>
  <fills count="4">
    <fill>
      <patternFill patternType="none"/>
    </fill>
    <fill>
      <patternFill patternType="gray125"/>
    </fill>
    <fill>
      <patternFill patternType="solid">
        <fgColor theme="0" tint="-0.499984740745262"/>
        <bgColor indexed="64"/>
      </patternFill>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xf numFmtId="0" fontId="0" fillId="3" borderId="0" xfId="0" applyFill="1"/>
    <xf numFmtId="0" fontId="2" fillId="0" borderId="0" xfId="0" applyFont="1" applyAlignment="1">
      <alignment horizontal="center" vertical="center"/>
    </xf>
    <xf numFmtId="0" fontId="0" fillId="0" borderId="0" xfId="0" applyAlignment="1">
      <alignment horizontal="left" indent="1"/>
    </xf>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numFmt numFmtId="0" formatCode="General"/>
    </dxf>
    <dxf>
      <border outline="0">
        <bottom style="thin">
          <color auto="1"/>
        </bottom>
      </border>
    </dxf>
    <dxf>
      <font>
        <b/>
        <i val="0"/>
        <strike val="0"/>
        <condense val="0"/>
        <extend val="0"/>
        <outline val="0"/>
        <shadow val="0"/>
        <u val="none"/>
        <vertAlign val="baseline"/>
        <sz val="11"/>
        <color auto="1"/>
        <name val="Calibri"/>
        <scheme val="none"/>
      </font>
      <numFmt numFmtId="0" formatCode="Genera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in MS Excel.xlsx]kpi!PivotTable8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kpi!$A$4:$A$14</c:f>
              <c:strCache>
                <c:ptCount val="10"/>
                <c:pt idx="0">
                  <c:v>January</c:v>
                </c:pt>
                <c:pt idx="1">
                  <c:v>March</c:v>
                </c:pt>
                <c:pt idx="2">
                  <c:v>April</c:v>
                </c:pt>
                <c:pt idx="3">
                  <c:v>May</c:v>
                </c:pt>
                <c:pt idx="4">
                  <c:v>July</c:v>
                </c:pt>
                <c:pt idx="5">
                  <c:v>August</c:v>
                </c:pt>
                <c:pt idx="6">
                  <c:v>September</c:v>
                </c:pt>
                <c:pt idx="7">
                  <c:v>October</c:v>
                </c:pt>
                <c:pt idx="8">
                  <c:v>November</c:v>
                </c:pt>
                <c:pt idx="9">
                  <c:v>December</c:v>
                </c:pt>
              </c:strCache>
            </c:strRef>
          </c:cat>
          <c:val>
            <c:numRef>
              <c:f>kpi!$B$4:$B$14</c:f>
              <c:numCache>
                <c:formatCode>General</c:formatCode>
                <c:ptCount val="10"/>
                <c:pt idx="0">
                  <c:v>7160788.1699999999</c:v>
                </c:pt>
                <c:pt idx="1">
                  <c:v>6508879.0399999991</c:v>
                </c:pt>
                <c:pt idx="2">
                  <c:v>7334962.9200000009</c:v>
                </c:pt>
                <c:pt idx="3">
                  <c:v>6706004.9699999979</c:v>
                </c:pt>
                <c:pt idx="4">
                  <c:v>7637324.9500000011</c:v>
                </c:pt>
                <c:pt idx="5">
                  <c:v>5418893.9799999995</c:v>
                </c:pt>
                <c:pt idx="6">
                  <c:v>6264222.3099999996</c:v>
                </c:pt>
                <c:pt idx="7">
                  <c:v>5702923.370000001</c:v>
                </c:pt>
                <c:pt idx="8">
                  <c:v>5578535.0799999991</c:v>
                </c:pt>
                <c:pt idx="9">
                  <c:v>6491639.9899999993</c:v>
                </c:pt>
              </c:numCache>
            </c:numRef>
          </c:val>
          <c:smooth val="0"/>
          <c:extLst>
            <c:ext xmlns:c16="http://schemas.microsoft.com/office/drawing/2014/chart" uri="{C3380CC4-5D6E-409C-BE32-E72D297353CC}">
              <c16:uniqueId val="{00000000-6E29-48F3-B4D1-411383B2F42B}"/>
            </c:ext>
          </c:extLst>
        </c:ser>
        <c:dLbls>
          <c:showLegendKey val="0"/>
          <c:showVal val="0"/>
          <c:showCatName val="0"/>
          <c:showSerName val="0"/>
          <c:showPercent val="0"/>
          <c:showBubbleSize val="0"/>
        </c:dLbls>
        <c:smooth val="0"/>
        <c:axId val="2086594287"/>
        <c:axId val="2086593327"/>
      </c:lineChart>
      <c:catAx>
        <c:axId val="208659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593327"/>
        <c:crosses val="autoZero"/>
        <c:auto val="1"/>
        <c:lblAlgn val="ctr"/>
        <c:lblOffset val="100"/>
        <c:noMultiLvlLbl val="0"/>
      </c:catAx>
      <c:valAx>
        <c:axId val="2086593327"/>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59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in MS Excel.xlsx]kpi!PivotTable9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of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kpi!$B$19</c:f>
              <c:strCache>
                <c:ptCount val="1"/>
                <c:pt idx="0">
                  <c:v>Total</c:v>
                </c:pt>
              </c:strCache>
            </c:strRef>
          </c:tx>
          <c:spPr>
            <a:solidFill>
              <a:schemeClr val="accent1"/>
            </a:solidFill>
            <a:ln>
              <a:noFill/>
            </a:ln>
            <a:effectLst/>
          </c:spPr>
          <c:invertIfNegative val="0"/>
          <c:cat>
            <c:strRef>
              <c:f>kpi!$A$20:$A$25</c:f>
              <c:strCache>
                <c:ptCount val="5"/>
                <c:pt idx="0">
                  <c:v>Beauty</c:v>
                </c:pt>
                <c:pt idx="1">
                  <c:v>Books</c:v>
                </c:pt>
                <c:pt idx="2">
                  <c:v>Clothing</c:v>
                </c:pt>
                <c:pt idx="3">
                  <c:v>Electronics</c:v>
                </c:pt>
                <c:pt idx="4">
                  <c:v>Home &amp; Kitchen</c:v>
                </c:pt>
              </c:strCache>
            </c:strRef>
          </c:cat>
          <c:val>
            <c:numRef>
              <c:f>kpi!$B$20:$B$25</c:f>
              <c:numCache>
                <c:formatCode>General</c:formatCode>
                <c:ptCount val="5"/>
                <c:pt idx="0">
                  <c:v>14680584.049999993</c:v>
                </c:pt>
                <c:pt idx="1">
                  <c:v>14785759.65</c:v>
                </c:pt>
                <c:pt idx="2">
                  <c:v>15114386.860000003</c:v>
                </c:pt>
                <c:pt idx="3">
                  <c:v>17307173.069999997</c:v>
                </c:pt>
                <c:pt idx="4">
                  <c:v>13325209.109999994</c:v>
                </c:pt>
              </c:numCache>
            </c:numRef>
          </c:val>
          <c:extLst>
            <c:ext xmlns:c16="http://schemas.microsoft.com/office/drawing/2014/chart" uri="{C3380CC4-5D6E-409C-BE32-E72D297353CC}">
              <c16:uniqueId val="{00000000-E0F5-4B04-A976-084FECA7847A}"/>
            </c:ext>
          </c:extLst>
        </c:ser>
        <c:dLbls>
          <c:showLegendKey val="0"/>
          <c:showVal val="0"/>
          <c:showCatName val="0"/>
          <c:showSerName val="0"/>
          <c:showPercent val="0"/>
          <c:showBubbleSize val="0"/>
        </c:dLbls>
        <c:gapWidth val="182"/>
        <c:axId val="180868831"/>
        <c:axId val="180869791"/>
      </c:barChart>
      <c:catAx>
        <c:axId val="180868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69791"/>
        <c:crosses val="autoZero"/>
        <c:auto val="1"/>
        <c:lblAlgn val="ctr"/>
        <c:lblOffset val="100"/>
        <c:noMultiLvlLbl val="0"/>
      </c:catAx>
      <c:valAx>
        <c:axId val="180869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6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in MS Excel.xlsx]kpi!PivotTable10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kpi!$B$31</c:f>
              <c:strCache>
                <c:ptCount val="1"/>
                <c:pt idx="0">
                  <c:v>Total</c:v>
                </c:pt>
              </c:strCache>
            </c:strRef>
          </c:tx>
          <c:spPr>
            <a:solidFill>
              <a:schemeClr val="accent1"/>
            </a:solidFill>
            <a:ln>
              <a:noFill/>
            </a:ln>
            <a:effectLst/>
          </c:spPr>
          <c:invertIfNegative val="0"/>
          <c:cat>
            <c:strRef>
              <c:f>kpi!$A$32:$A$40</c:f>
              <c:strCache>
                <c:ptCount val="8"/>
                <c:pt idx="0">
                  <c:v>Delhi</c:v>
                </c:pt>
                <c:pt idx="1">
                  <c:v>Gujarat</c:v>
                </c:pt>
                <c:pt idx="2">
                  <c:v>Karnataka</c:v>
                </c:pt>
                <c:pt idx="3">
                  <c:v>Maharashtra</c:v>
                </c:pt>
                <c:pt idx="4">
                  <c:v>Tamil Nadu</c:v>
                </c:pt>
                <c:pt idx="5">
                  <c:v>Telangana</c:v>
                </c:pt>
                <c:pt idx="6">
                  <c:v>Uttar Pradesh</c:v>
                </c:pt>
                <c:pt idx="7">
                  <c:v>West Bengal</c:v>
                </c:pt>
              </c:strCache>
            </c:strRef>
          </c:cat>
          <c:val>
            <c:numRef>
              <c:f>kpi!$B$32:$B$40</c:f>
              <c:numCache>
                <c:formatCode>General</c:formatCode>
                <c:ptCount val="8"/>
                <c:pt idx="0">
                  <c:v>2427214.0699999998</c:v>
                </c:pt>
                <c:pt idx="1">
                  <c:v>1938834.6399999994</c:v>
                </c:pt>
                <c:pt idx="2">
                  <c:v>2400323.0700000003</c:v>
                </c:pt>
                <c:pt idx="3">
                  <c:v>2714417.44</c:v>
                </c:pt>
                <c:pt idx="4">
                  <c:v>2360200.8799999994</c:v>
                </c:pt>
                <c:pt idx="5">
                  <c:v>2304595.3600000008</c:v>
                </c:pt>
                <c:pt idx="6">
                  <c:v>2247946.0700000003</c:v>
                </c:pt>
                <c:pt idx="7">
                  <c:v>2315045.6400000006</c:v>
                </c:pt>
              </c:numCache>
            </c:numRef>
          </c:val>
          <c:extLst>
            <c:ext xmlns:c16="http://schemas.microsoft.com/office/drawing/2014/chart" uri="{C3380CC4-5D6E-409C-BE32-E72D297353CC}">
              <c16:uniqueId val="{00000000-BB43-46B4-9DC0-CFC761069A93}"/>
            </c:ext>
          </c:extLst>
        </c:ser>
        <c:dLbls>
          <c:showLegendKey val="0"/>
          <c:showVal val="0"/>
          <c:showCatName val="0"/>
          <c:showSerName val="0"/>
          <c:showPercent val="0"/>
          <c:showBubbleSize val="0"/>
        </c:dLbls>
        <c:gapWidth val="219"/>
        <c:overlap val="-27"/>
        <c:axId val="2086585167"/>
        <c:axId val="2086592367"/>
      </c:barChart>
      <c:catAx>
        <c:axId val="208658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592367"/>
        <c:crosses val="autoZero"/>
        <c:auto val="1"/>
        <c:lblAlgn val="ctr"/>
        <c:lblOffset val="100"/>
        <c:noMultiLvlLbl val="0"/>
      </c:catAx>
      <c:valAx>
        <c:axId val="208659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58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in MS Excel.xlsx]kpi!PivotTable11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kpi!$B$46</c:f>
              <c:strCache>
                <c:ptCount val="1"/>
                <c:pt idx="0">
                  <c:v>Total</c:v>
                </c:pt>
              </c:strCache>
            </c:strRef>
          </c:tx>
          <c:spPr>
            <a:solidFill>
              <a:schemeClr val="accent1"/>
            </a:solidFill>
            <a:ln>
              <a:noFill/>
            </a:ln>
            <a:effectLst/>
          </c:spPr>
          <c:invertIfNegative val="0"/>
          <c:cat>
            <c:strRef>
              <c:f>kpi!$A$47:$A$57</c:f>
              <c:strCache>
                <c:ptCount val="10"/>
                <c:pt idx="0">
                  <c:v>Educational Book</c:v>
                </c:pt>
                <c:pt idx="1">
                  <c:v>Laptop</c:v>
                </c:pt>
                <c:pt idx="2">
                  <c:v>Table Lamp</c:v>
                </c:pt>
                <c:pt idx="3">
                  <c:v>Headphones</c:v>
                </c:pt>
                <c:pt idx="4">
                  <c:v>Jeans</c:v>
                </c:pt>
                <c:pt idx="5">
                  <c:v>Smartwatch</c:v>
                </c:pt>
                <c:pt idx="6">
                  <c:v>Face Cream</c:v>
                </c:pt>
                <c:pt idx="7">
                  <c:v>Perfume</c:v>
                </c:pt>
                <c:pt idx="8">
                  <c:v>Fiction Novel</c:v>
                </c:pt>
                <c:pt idx="9">
                  <c:v>Jacket</c:v>
                </c:pt>
              </c:strCache>
            </c:strRef>
          </c:cat>
          <c:val>
            <c:numRef>
              <c:f>kpi!$B$47:$B$57</c:f>
              <c:numCache>
                <c:formatCode>General</c:formatCode>
                <c:ptCount val="10"/>
                <c:pt idx="0">
                  <c:v>4522055.3499999996</c:v>
                </c:pt>
                <c:pt idx="1">
                  <c:v>4132783.7199999997</c:v>
                </c:pt>
                <c:pt idx="2">
                  <c:v>3986691.68</c:v>
                </c:pt>
                <c:pt idx="3">
                  <c:v>3722765.2699999991</c:v>
                </c:pt>
                <c:pt idx="4">
                  <c:v>3685259.6</c:v>
                </c:pt>
                <c:pt idx="5">
                  <c:v>3680177.8000000007</c:v>
                </c:pt>
                <c:pt idx="6">
                  <c:v>3646816.9700000016</c:v>
                </c:pt>
                <c:pt idx="7">
                  <c:v>3266905.7499999991</c:v>
                </c:pt>
                <c:pt idx="8">
                  <c:v>3172999.9099999988</c:v>
                </c:pt>
                <c:pt idx="9">
                  <c:v>3161049.05</c:v>
                </c:pt>
              </c:numCache>
            </c:numRef>
          </c:val>
          <c:extLst>
            <c:ext xmlns:c16="http://schemas.microsoft.com/office/drawing/2014/chart" uri="{C3380CC4-5D6E-409C-BE32-E72D297353CC}">
              <c16:uniqueId val="{00000000-BB0D-4545-966C-64800BCF12A3}"/>
            </c:ext>
          </c:extLst>
        </c:ser>
        <c:dLbls>
          <c:showLegendKey val="0"/>
          <c:showVal val="0"/>
          <c:showCatName val="0"/>
          <c:showSerName val="0"/>
          <c:showPercent val="0"/>
          <c:showBubbleSize val="0"/>
        </c:dLbls>
        <c:gapWidth val="182"/>
        <c:axId val="1725257999"/>
        <c:axId val="1725258479"/>
      </c:barChart>
      <c:catAx>
        <c:axId val="1725257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258479"/>
        <c:crosses val="autoZero"/>
        <c:auto val="1"/>
        <c:lblAlgn val="ctr"/>
        <c:lblOffset val="100"/>
        <c:noMultiLvlLbl val="0"/>
      </c:catAx>
      <c:valAx>
        <c:axId val="1725258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25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in MS Excel.xlsx]kpi!PivotTable12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kpi!$B$63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61-4166-9CAE-2BCFD1411A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61-4166-9CAE-2BCFD1411A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61-4166-9CAE-2BCFD1411A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61-4166-9CAE-2BCFD1411A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961-4166-9CAE-2BCFD1411A0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961-4166-9CAE-2BCFD1411A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kpi!$A$64:$A$70</c:f>
              <c:strCache>
                <c:ptCount val="6"/>
                <c:pt idx="0">
                  <c:v>COD</c:v>
                </c:pt>
                <c:pt idx="1">
                  <c:v>Credit Card</c:v>
                </c:pt>
                <c:pt idx="2">
                  <c:v>Debit Card</c:v>
                </c:pt>
                <c:pt idx="3">
                  <c:v>Net Banking</c:v>
                </c:pt>
                <c:pt idx="4">
                  <c:v>UPI</c:v>
                </c:pt>
                <c:pt idx="5">
                  <c:v>Wallet</c:v>
                </c:pt>
              </c:strCache>
            </c:strRef>
          </c:cat>
          <c:val>
            <c:numRef>
              <c:f>kpi!$B$64:$B$70</c:f>
              <c:numCache>
                <c:formatCode>General</c:formatCode>
                <c:ptCount val="6"/>
                <c:pt idx="0">
                  <c:v>169</c:v>
                </c:pt>
                <c:pt idx="1">
                  <c:v>146</c:v>
                </c:pt>
                <c:pt idx="2">
                  <c:v>171</c:v>
                </c:pt>
                <c:pt idx="3">
                  <c:v>166</c:v>
                </c:pt>
                <c:pt idx="4">
                  <c:v>176</c:v>
                </c:pt>
                <c:pt idx="5">
                  <c:v>172</c:v>
                </c:pt>
              </c:numCache>
            </c:numRef>
          </c:val>
          <c:extLst>
            <c:ext xmlns:c16="http://schemas.microsoft.com/office/drawing/2014/chart" uri="{C3380CC4-5D6E-409C-BE32-E72D297353CC}">
              <c16:uniqueId val="{00000000-62BB-4AEA-86F7-2A6155FC8F2D}"/>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in MS Excel.xlsx]kpi!PivotTable13</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Delivery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kpi!$B$74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B0BD-4F3B-94D2-226E1D1FE3C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0BD-4F3B-94D2-226E1D1FE3C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B0BD-4F3B-94D2-226E1D1FE3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kpi!$A$75:$A$78</c:f>
              <c:strCache>
                <c:ptCount val="3"/>
                <c:pt idx="0">
                  <c:v>Cancelled</c:v>
                </c:pt>
                <c:pt idx="1">
                  <c:v>Delivered</c:v>
                </c:pt>
                <c:pt idx="2">
                  <c:v>Returned</c:v>
                </c:pt>
              </c:strCache>
            </c:strRef>
          </c:cat>
          <c:val>
            <c:numRef>
              <c:f>kpi!$B$75:$B$78</c:f>
              <c:numCache>
                <c:formatCode>General</c:formatCode>
                <c:ptCount val="3"/>
                <c:pt idx="0">
                  <c:v>29</c:v>
                </c:pt>
                <c:pt idx="1">
                  <c:v>901</c:v>
                </c:pt>
                <c:pt idx="2">
                  <c:v>70</c:v>
                </c:pt>
              </c:numCache>
            </c:numRef>
          </c:val>
          <c:extLst>
            <c:ext xmlns:c16="http://schemas.microsoft.com/office/drawing/2014/chart" uri="{C3380CC4-5D6E-409C-BE32-E72D297353CC}">
              <c16:uniqueId val="{00000000-9DEE-421F-99D6-9651AEA0927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in MS Excel.xlsx]kpi!PivotTable14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a:t>
            </a:r>
            <a:r>
              <a:rPr lang="en-US" baseline="0"/>
              <a:t> of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kpi!$B$89</c:f>
              <c:strCache>
                <c:ptCount val="1"/>
                <c:pt idx="0">
                  <c:v>Total</c:v>
                </c:pt>
              </c:strCache>
            </c:strRef>
          </c:tx>
          <c:spPr>
            <a:solidFill>
              <a:schemeClr val="accent1"/>
            </a:solidFill>
            <a:ln>
              <a:noFill/>
            </a:ln>
            <a:effectLst/>
          </c:spPr>
          <c:invertIfNegative val="0"/>
          <c:cat>
            <c:strRef>
              <c:f>kpi!$A$90:$A$100</c:f>
              <c:strCache>
                <c:ptCount val="10"/>
                <c:pt idx="0">
                  <c:v>Boat</c:v>
                </c:pt>
                <c:pt idx="1">
                  <c:v>Generic</c:v>
                </c:pt>
                <c:pt idx="2">
                  <c:v>HarperCollins</c:v>
                </c:pt>
                <c:pt idx="3">
                  <c:v>Lakme</c:v>
                </c:pt>
                <c:pt idx="4">
                  <c:v>Mamaearth</c:v>
                </c:pt>
                <c:pt idx="5">
                  <c:v>Maybelline</c:v>
                </c:pt>
                <c:pt idx="6">
                  <c:v>Milton</c:v>
                </c:pt>
                <c:pt idx="7">
                  <c:v>Penguin</c:v>
                </c:pt>
                <c:pt idx="8">
                  <c:v>Pigeon</c:v>
                </c:pt>
                <c:pt idx="9">
                  <c:v>Prestige</c:v>
                </c:pt>
              </c:strCache>
            </c:strRef>
          </c:cat>
          <c:val>
            <c:numRef>
              <c:f>kpi!$B$90:$B$100</c:f>
              <c:numCache>
                <c:formatCode>General</c:formatCode>
                <c:ptCount val="10"/>
                <c:pt idx="0">
                  <c:v>3466895.1800000006</c:v>
                </c:pt>
                <c:pt idx="1">
                  <c:v>15114386.860000003</c:v>
                </c:pt>
                <c:pt idx="2">
                  <c:v>7980361.8900000015</c:v>
                </c:pt>
                <c:pt idx="3">
                  <c:v>5026104.7499999981</c:v>
                </c:pt>
                <c:pt idx="4">
                  <c:v>5103234.28</c:v>
                </c:pt>
                <c:pt idx="5">
                  <c:v>4551245.0199999986</c:v>
                </c:pt>
                <c:pt idx="6">
                  <c:v>4641499.620000002</c:v>
                </c:pt>
                <c:pt idx="7">
                  <c:v>6805397.7600000016</c:v>
                </c:pt>
                <c:pt idx="8">
                  <c:v>4317760.6000000015</c:v>
                </c:pt>
                <c:pt idx="9">
                  <c:v>4365948.8899999997</c:v>
                </c:pt>
              </c:numCache>
            </c:numRef>
          </c:val>
          <c:extLst>
            <c:ext xmlns:c16="http://schemas.microsoft.com/office/drawing/2014/chart" uri="{C3380CC4-5D6E-409C-BE32-E72D297353CC}">
              <c16:uniqueId val="{00000000-4C14-4998-82F9-0FE217EA3405}"/>
            </c:ext>
          </c:extLst>
        </c:ser>
        <c:dLbls>
          <c:showLegendKey val="0"/>
          <c:showVal val="0"/>
          <c:showCatName val="0"/>
          <c:showSerName val="0"/>
          <c:showPercent val="0"/>
          <c:showBubbleSize val="0"/>
        </c:dLbls>
        <c:gapWidth val="219"/>
        <c:overlap val="-27"/>
        <c:axId val="1691653647"/>
        <c:axId val="1691654607"/>
      </c:barChart>
      <c:catAx>
        <c:axId val="169165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654607"/>
        <c:crosses val="autoZero"/>
        <c:auto val="1"/>
        <c:lblAlgn val="ctr"/>
        <c:lblOffset val="100"/>
        <c:noMultiLvlLbl val="0"/>
      </c:catAx>
      <c:valAx>
        <c:axId val="169165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65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in MS Excel.xlsx]kpi!PivotTable15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order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kpi!$B$105</c:f>
              <c:strCache>
                <c:ptCount val="1"/>
                <c:pt idx="0">
                  <c:v>Total</c:v>
                </c:pt>
              </c:strCache>
            </c:strRef>
          </c:tx>
          <c:spPr>
            <a:solidFill>
              <a:schemeClr val="accent1"/>
            </a:solidFill>
            <a:ln>
              <a:noFill/>
            </a:ln>
            <a:effectLst/>
          </c:spPr>
          <c:invertIfNegative val="0"/>
          <c:cat>
            <c:strRef>
              <c:f>kpi!$A$106:$A$116</c:f>
              <c:strCache>
                <c:ptCount val="10"/>
                <c:pt idx="0">
                  <c:v>March</c:v>
                </c:pt>
                <c:pt idx="1">
                  <c:v>April</c:v>
                </c:pt>
                <c:pt idx="2">
                  <c:v>May</c:v>
                </c:pt>
                <c:pt idx="3">
                  <c:v>June</c:v>
                </c:pt>
                <c:pt idx="4">
                  <c:v>July</c:v>
                </c:pt>
                <c:pt idx="5">
                  <c:v>August</c:v>
                </c:pt>
                <c:pt idx="6">
                  <c:v>September</c:v>
                </c:pt>
                <c:pt idx="7">
                  <c:v>October</c:v>
                </c:pt>
                <c:pt idx="8">
                  <c:v>November</c:v>
                </c:pt>
                <c:pt idx="9">
                  <c:v>December</c:v>
                </c:pt>
              </c:strCache>
            </c:strRef>
          </c:cat>
          <c:val>
            <c:numRef>
              <c:f>kpi!$B$106:$B$116</c:f>
              <c:numCache>
                <c:formatCode>General</c:formatCode>
                <c:ptCount val="10"/>
                <c:pt idx="0">
                  <c:v>84</c:v>
                </c:pt>
                <c:pt idx="1">
                  <c:v>79</c:v>
                </c:pt>
                <c:pt idx="2">
                  <c:v>93</c:v>
                </c:pt>
                <c:pt idx="3">
                  <c:v>83</c:v>
                </c:pt>
                <c:pt idx="4">
                  <c:v>97</c:v>
                </c:pt>
                <c:pt idx="5">
                  <c:v>86</c:v>
                </c:pt>
                <c:pt idx="6">
                  <c:v>88</c:v>
                </c:pt>
                <c:pt idx="7">
                  <c:v>79</c:v>
                </c:pt>
                <c:pt idx="8">
                  <c:v>80</c:v>
                </c:pt>
                <c:pt idx="9">
                  <c:v>81</c:v>
                </c:pt>
              </c:numCache>
            </c:numRef>
          </c:val>
          <c:extLst>
            <c:ext xmlns:c16="http://schemas.microsoft.com/office/drawing/2014/chart" uri="{C3380CC4-5D6E-409C-BE32-E72D297353CC}">
              <c16:uniqueId val="{00000000-7693-4D6D-9DB2-862A875CBA97}"/>
            </c:ext>
          </c:extLst>
        </c:ser>
        <c:dLbls>
          <c:showLegendKey val="0"/>
          <c:showVal val="0"/>
          <c:showCatName val="0"/>
          <c:showSerName val="0"/>
          <c:showPercent val="0"/>
          <c:showBubbleSize val="0"/>
        </c:dLbls>
        <c:gapWidth val="219"/>
        <c:overlap val="-27"/>
        <c:axId val="1547546767"/>
        <c:axId val="2080309903"/>
      </c:barChart>
      <c:catAx>
        <c:axId val="154754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309903"/>
        <c:crosses val="autoZero"/>
        <c:auto val="1"/>
        <c:lblAlgn val="ctr"/>
        <c:lblOffset val="100"/>
        <c:noMultiLvlLbl val="0"/>
      </c:catAx>
      <c:valAx>
        <c:axId val="2080309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4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in MS Excel.xlsx]kpi!PivotTable10</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kpi!$B$31</c:f>
              <c:strCache>
                <c:ptCount val="1"/>
                <c:pt idx="0">
                  <c:v>Total</c:v>
                </c:pt>
              </c:strCache>
            </c:strRef>
          </c:tx>
          <c:spPr>
            <a:solidFill>
              <a:schemeClr val="accent1"/>
            </a:solidFill>
            <a:ln>
              <a:noFill/>
            </a:ln>
            <a:effectLst/>
          </c:spPr>
          <c:invertIfNegative val="0"/>
          <c:cat>
            <c:strRef>
              <c:f>kpi!$A$32:$A$40</c:f>
              <c:strCache>
                <c:ptCount val="8"/>
                <c:pt idx="0">
                  <c:v>Delhi</c:v>
                </c:pt>
                <c:pt idx="1">
                  <c:v>Gujarat</c:v>
                </c:pt>
                <c:pt idx="2">
                  <c:v>Karnataka</c:v>
                </c:pt>
                <c:pt idx="3">
                  <c:v>Maharashtra</c:v>
                </c:pt>
                <c:pt idx="4">
                  <c:v>Tamil Nadu</c:v>
                </c:pt>
                <c:pt idx="5">
                  <c:v>Telangana</c:v>
                </c:pt>
                <c:pt idx="6">
                  <c:v>Uttar Pradesh</c:v>
                </c:pt>
                <c:pt idx="7">
                  <c:v>West Bengal</c:v>
                </c:pt>
              </c:strCache>
            </c:strRef>
          </c:cat>
          <c:val>
            <c:numRef>
              <c:f>kpi!$B$32:$B$40</c:f>
              <c:numCache>
                <c:formatCode>General</c:formatCode>
                <c:ptCount val="8"/>
                <c:pt idx="0">
                  <c:v>2427214.0699999998</c:v>
                </c:pt>
                <c:pt idx="1">
                  <c:v>1938834.6399999994</c:v>
                </c:pt>
                <c:pt idx="2">
                  <c:v>2400323.0700000003</c:v>
                </c:pt>
                <c:pt idx="3">
                  <c:v>2714417.44</c:v>
                </c:pt>
                <c:pt idx="4">
                  <c:v>2360200.8799999994</c:v>
                </c:pt>
                <c:pt idx="5">
                  <c:v>2304595.3600000008</c:v>
                </c:pt>
                <c:pt idx="6">
                  <c:v>2247946.0700000003</c:v>
                </c:pt>
                <c:pt idx="7">
                  <c:v>2315045.6400000006</c:v>
                </c:pt>
              </c:numCache>
            </c:numRef>
          </c:val>
          <c:extLst>
            <c:ext xmlns:c16="http://schemas.microsoft.com/office/drawing/2014/chart" uri="{C3380CC4-5D6E-409C-BE32-E72D297353CC}">
              <c16:uniqueId val="{00000000-60F1-4D0B-A89D-058031C73915}"/>
            </c:ext>
          </c:extLst>
        </c:ser>
        <c:dLbls>
          <c:showLegendKey val="0"/>
          <c:showVal val="0"/>
          <c:showCatName val="0"/>
          <c:showSerName val="0"/>
          <c:showPercent val="0"/>
          <c:showBubbleSize val="0"/>
        </c:dLbls>
        <c:gapWidth val="219"/>
        <c:overlap val="-27"/>
        <c:axId val="2086585167"/>
        <c:axId val="2086592367"/>
      </c:barChart>
      <c:catAx>
        <c:axId val="208658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86592367"/>
        <c:crosses val="autoZero"/>
        <c:auto val="1"/>
        <c:lblAlgn val="ctr"/>
        <c:lblOffset val="100"/>
        <c:noMultiLvlLbl val="0"/>
      </c:catAx>
      <c:valAx>
        <c:axId val="2086592367"/>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8658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in MS Excel.xlsx]kpi!PivotTable9</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 of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kpi!$B$19</c:f>
              <c:strCache>
                <c:ptCount val="1"/>
                <c:pt idx="0">
                  <c:v>Total</c:v>
                </c:pt>
              </c:strCache>
            </c:strRef>
          </c:tx>
          <c:spPr>
            <a:solidFill>
              <a:schemeClr val="accent1"/>
            </a:solidFill>
            <a:ln>
              <a:noFill/>
            </a:ln>
            <a:effectLst/>
          </c:spPr>
          <c:invertIfNegative val="0"/>
          <c:cat>
            <c:strRef>
              <c:f>kpi!$A$20:$A$25</c:f>
              <c:strCache>
                <c:ptCount val="5"/>
                <c:pt idx="0">
                  <c:v>Beauty</c:v>
                </c:pt>
                <c:pt idx="1">
                  <c:v>Books</c:v>
                </c:pt>
                <c:pt idx="2">
                  <c:v>Clothing</c:v>
                </c:pt>
                <c:pt idx="3">
                  <c:v>Electronics</c:v>
                </c:pt>
                <c:pt idx="4">
                  <c:v>Home &amp; Kitchen</c:v>
                </c:pt>
              </c:strCache>
            </c:strRef>
          </c:cat>
          <c:val>
            <c:numRef>
              <c:f>kpi!$B$20:$B$25</c:f>
              <c:numCache>
                <c:formatCode>General</c:formatCode>
                <c:ptCount val="5"/>
                <c:pt idx="0">
                  <c:v>14680584.049999993</c:v>
                </c:pt>
                <c:pt idx="1">
                  <c:v>14785759.65</c:v>
                </c:pt>
                <c:pt idx="2">
                  <c:v>15114386.860000003</c:v>
                </c:pt>
                <c:pt idx="3">
                  <c:v>17307173.069999997</c:v>
                </c:pt>
                <c:pt idx="4">
                  <c:v>13325209.109999994</c:v>
                </c:pt>
              </c:numCache>
            </c:numRef>
          </c:val>
          <c:extLst>
            <c:ext xmlns:c16="http://schemas.microsoft.com/office/drawing/2014/chart" uri="{C3380CC4-5D6E-409C-BE32-E72D297353CC}">
              <c16:uniqueId val="{00000000-89D1-45AF-90B0-65C4F90442F9}"/>
            </c:ext>
          </c:extLst>
        </c:ser>
        <c:dLbls>
          <c:showLegendKey val="0"/>
          <c:showVal val="0"/>
          <c:showCatName val="0"/>
          <c:showSerName val="0"/>
          <c:showPercent val="0"/>
          <c:showBubbleSize val="0"/>
        </c:dLbls>
        <c:gapWidth val="182"/>
        <c:axId val="180868831"/>
        <c:axId val="180869791"/>
      </c:barChart>
      <c:catAx>
        <c:axId val="180868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869791"/>
        <c:crosses val="autoZero"/>
        <c:auto val="1"/>
        <c:lblAlgn val="ctr"/>
        <c:lblOffset val="100"/>
        <c:noMultiLvlLbl val="0"/>
      </c:catAx>
      <c:valAx>
        <c:axId val="180869791"/>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86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in MS Excel.xlsx]kpi!PivotTable12</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kpi!$B$63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2A-419A-A4C7-C8F3DF9961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2A-419A-A4C7-C8F3DF9961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2A-419A-A4C7-C8F3DF9961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2A-419A-A4C7-C8F3DF9961F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62A-419A-A4C7-C8F3DF9961F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62A-419A-A4C7-C8F3DF9961F0}"/>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kpi!$A$64:$A$70</c:f>
              <c:strCache>
                <c:ptCount val="6"/>
                <c:pt idx="0">
                  <c:v>COD</c:v>
                </c:pt>
                <c:pt idx="1">
                  <c:v>Credit Card</c:v>
                </c:pt>
                <c:pt idx="2">
                  <c:v>Debit Card</c:v>
                </c:pt>
                <c:pt idx="3">
                  <c:v>Net Banking</c:v>
                </c:pt>
                <c:pt idx="4">
                  <c:v>UPI</c:v>
                </c:pt>
                <c:pt idx="5">
                  <c:v>Wallet</c:v>
                </c:pt>
              </c:strCache>
            </c:strRef>
          </c:cat>
          <c:val>
            <c:numRef>
              <c:f>kpi!$B$64:$B$70</c:f>
              <c:numCache>
                <c:formatCode>General</c:formatCode>
                <c:ptCount val="6"/>
                <c:pt idx="0">
                  <c:v>169</c:v>
                </c:pt>
                <c:pt idx="1">
                  <c:v>146</c:v>
                </c:pt>
                <c:pt idx="2">
                  <c:v>171</c:v>
                </c:pt>
                <c:pt idx="3">
                  <c:v>166</c:v>
                </c:pt>
                <c:pt idx="4">
                  <c:v>176</c:v>
                </c:pt>
                <c:pt idx="5">
                  <c:v>172</c:v>
                </c:pt>
              </c:numCache>
            </c:numRef>
          </c:val>
          <c:extLst>
            <c:ext xmlns:c16="http://schemas.microsoft.com/office/drawing/2014/chart" uri="{C3380CC4-5D6E-409C-BE32-E72D297353CC}">
              <c16:uniqueId val="{0000000C-562A-419A-A4C7-C8F3DF9961F0}"/>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in MS Excel.xlsx]kpi!PivotTable13</c:name>
    <c:fmtId val="1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Delivery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kpi!$B$74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717F-4E40-BEBD-47B0AB96052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717F-4E40-BEBD-47B0AB96052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717F-4E40-BEBD-47B0AB960524}"/>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kpi!$A$75:$A$78</c:f>
              <c:strCache>
                <c:ptCount val="3"/>
                <c:pt idx="0">
                  <c:v>Cancelled</c:v>
                </c:pt>
                <c:pt idx="1">
                  <c:v>Delivered</c:v>
                </c:pt>
                <c:pt idx="2">
                  <c:v>Returned</c:v>
                </c:pt>
              </c:strCache>
            </c:strRef>
          </c:cat>
          <c:val>
            <c:numRef>
              <c:f>kpi!$B$75:$B$78</c:f>
              <c:numCache>
                <c:formatCode>General</c:formatCode>
                <c:ptCount val="3"/>
                <c:pt idx="0">
                  <c:v>29</c:v>
                </c:pt>
                <c:pt idx="1">
                  <c:v>901</c:v>
                </c:pt>
                <c:pt idx="2">
                  <c:v>70</c:v>
                </c:pt>
              </c:numCache>
            </c:numRef>
          </c:val>
          <c:extLst>
            <c:ext xmlns:c16="http://schemas.microsoft.com/office/drawing/2014/chart" uri="{C3380CC4-5D6E-409C-BE32-E72D297353CC}">
              <c16:uniqueId val="{00000006-717F-4E40-BEBD-47B0AB96052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in MS Excel.xlsx]kpi!PivotTable11</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kpi!$B$46</c:f>
              <c:strCache>
                <c:ptCount val="1"/>
                <c:pt idx="0">
                  <c:v>Total</c:v>
                </c:pt>
              </c:strCache>
            </c:strRef>
          </c:tx>
          <c:spPr>
            <a:solidFill>
              <a:schemeClr val="accent1"/>
            </a:solidFill>
            <a:ln>
              <a:noFill/>
            </a:ln>
            <a:effectLst/>
          </c:spPr>
          <c:invertIfNegative val="0"/>
          <c:cat>
            <c:strRef>
              <c:f>kpi!$A$47:$A$57</c:f>
              <c:strCache>
                <c:ptCount val="10"/>
                <c:pt idx="0">
                  <c:v>Educational Book</c:v>
                </c:pt>
                <c:pt idx="1">
                  <c:v>Laptop</c:v>
                </c:pt>
                <c:pt idx="2">
                  <c:v>Table Lamp</c:v>
                </c:pt>
                <c:pt idx="3">
                  <c:v>Headphones</c:v>
                </c:pt>
                <c:pt idx="4">
                  <c:v>Jeans</c:v>
                </c:pt>
                <c:pt idx="5">
                  <c:v>Smartwatch</c:v>
                </c:pt>
                <c:pt idx="6">
                  <c:v>Face Cream</c:v>
                </c:pt>
                <c:pt idx="7">
                  <c:v>Perfume</c:v>
                </c:pt>
                <c:pt idx="8">
                  <c:v>Fiction Novel</c:v>
                </c:pt>
                <c:pt idx="9">
                  <c:v>Jacket</c:v>
                </c:pt>
              </c:strCache>
            </c:strRef>
          </c:cat>
          <c:val>
            <c:numRef>
              <c:f>kpi!$B$47:$B$57</c:f>
              <c:numCache>
                <c:formatCode>General</c:formatCode>
                <c:ptCount val="10"/>
                <c:pt idx="0">
                  <c:v>4522055.3499999996</c:v>
                </c:pt>
                <c:pt idx="1">
                  <c:v>4132783.7199999997</c:v>
                </c:pt>
                <c:pt idx="2">
                  <c:v>3986691.68</c:v>
                </c:pt>
                <c:pt idx="3">
                  <c:v>3722765.2699999991</c:v>
                </c:pt>
                <c:pt idx="4">
                  <c:v>3685259.6</c:v>
                </c:pt>
                <c:pt idx="5">
                  <c:v>3680177.8000000007</c:v>
                </c:pt>
                <c:pt idx="6">
                  <c:v>3646816.9700000016</c:v>
                </c:pt>
                <c:pt idx="7">
                  <c:v>3266905.7499999991</c:v>
                </c:pt>
                <c:pt idx="8">
                  <c:v>3172999.9099999988</c:v>
                </c:pt>
                <c:pt idx="9">
                  <c:v>3161049.05</c:v>
                </c:pt>
              </c:numCache>
            </c:numRef>
          </c:val>
          <c:extLst>
            <c:ext xmlns:c16="http://schemas.microsoft.com/office/drawing/2014/chart" uri="{C3380CC4-5D6E-409C-BE32-E72D297353CC}">
              <c16:uniqueId val="{00000000-97B6-4C11-ADC5-B16B187AA358}"/>
            </c:ext>
          </c:extLst>
        </c:ser>
        <c:dLbls>
          <c:showLegendKey val="0"/>
          <c:showVal val="0"/>
          <c:showCatName val="0"/>
          <c:showSerName val="0"/>
          <c:showPercent val="0"/>
          <c:showBubbleSize val="0"/>
        </c:dLbls>
        <c:gapWidth val="182"/>
        <c:axId val="1725257999"/>
        <c:axId val="1725258479"/>
      </c:barChart>
      <c:catAx>
        <c:axId val="1725257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25258479"/>
        <c:crosses val="autoZero"/>
        <c:auto val="1"/>
        <c:lblAlgn val="ctr"/>
        <c:lblOffset val="100"/>
        <c:noMultiLvlLbl val="0"/>
      </c:catAx>
      <c:valAx>
        <c:axId val="1725258479"/>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2525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in MS Excel.xlsx]kpi!PivotTable14</c:name>
    <c:fmtId val="1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Brand of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kpi!$B$89</c:f>
              <c:strCache>
                <c:ptCount val="1"/>
                <c:pt idx="0">
                  <c:v>Total</c:v>
                </c:pt>
              </c:strCache>
            </c:strRef>
          </c:tx>
          <c:spPr>
            <a:solidFill>
              <a:schemeClr val="accent1"/>
            </a:solidFill>
            <a:ln>
              <a:noFill/>
            </a:ln>
            <a:effectLst/>
          </c:spPr>
          <c:invertIfNegative val="0"/>
          <c:cat>
            <c:strRef>
              <c:f>kpi!$A$90:$A$100</c:f>
              <c:strCache>
                <c:ptCount val="10"/>
                <c:pt idx="0">
                  <c:v>Boat</c:v>
                </c:pt>
                <c:pt idx="1">
                  <c:v>Generic</c:v>
                </c:pt>
                <c:pt idx="2">
                  <c:v>HarperCollins</c:v>
                </c:pt>
                <c:pt idx="3">
                  <c:v>Lakme</c:v>
                </c:pt>
                <c:pt idx="4">
                  <c:v>Mamaearth</c:v>
                </c:pt>
                <c:pt idx="5">
                  <c:v>Maybelline</c:v>
                </c:pt>
                <c:pt idx="6">
                  <c:v>Milton</c:v>
                </c:pt>
                <c:pt idx="7">
                  <c:v>Penguin</c:v>
                </c:pt>
                <c:pt idx="8">
                  <c:v>Pigeon</c:v>
                </c:pt>
                <c:pt idx="9">
                  <c:v>Prestige</c:v>
                </c:pt>
              </c:strCache>
            </c:strRef>
          </c:cat>
          <c:val>
            <c:numRef>
              <c:f>kpi!$B$90:$B$100</c:f>
              <c:numCache>
                <c:formatCode>General</c:formatCode>
                <c:ptCount val="10"/>
                <c:pt idx="0">
                  <c:v>3466895.1800000006</c:v>
                </c:pt>
                <c:pt idx="1">
                  <c:v>15114386.860000003</c:v>
                </c:pt>
                <c:pt idx="2">
                  <c:v>7980361.8900000015</c:v>
                </c:pt>
                <c:pt idx="3">
                  <c:v>5026104.7499999981</c:v>
                </c:pt>
                <c:pt idx="4">
                  <c:v>5103234.28</c:v>
                </c:pt>
                <c:pt idx="5">
                  <c:v>4551245.0199999986</c:v>
                </c:pt>
                <c:pt idx="6">
                  <c:v>4641499.620000002</c:v>
                </c:pt>
                <c:pt idx="7">
                  <c:v>6805397.7600000016</c:v>
                </c:pt>
                <c:pt idx="8">
                  <c:v>4317760.6000000015</c:v>
                </c:pt>
                <c:pt idx="9">
                  <c:v>4365948.8899999997</c:v>
                </c:pt>
              </c:numCache>
            </c:numRef>
          </c:val>
          <c:extLst>
            <c:ext xmlns:c16="http://schemas.microsoft.com/office/drawing/2014/chart" uri="{C3380CC4-5D6E-409C-BE32-E72D297353CC}">
              <c16:uniqueId val="{00000000-58BB-4AD7-9F0C-41B9680DA490}"/>
            </c:ext>
          </c:extLst>
        </c:ser>
        <c:dLbls>
          <c:showLegendKey val="0"/>
          <c:showVal val="0"/>
          <c:showCatName val="0"/>
          <c:showSerName val="0"/>
          <c:showPercent val="0"/>
          <c:showBubbleSize val="0"/>
        </c:dLbls>
        <c:gapWidth val="219"/>
        <c:overlap val="-27"/>
        <c:axId val="1691653647"/>
        <c:axId val="1691654607"/>
      </c:barChart>
      <c:catAx>
        <c:axId val="169165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91654607"/>
        <c:crosses val="autoZero"/>
        <c:auto val="1"/>
        <c:lblAlgn val="ctr"/>
        <c:lblOffset val="100"/>
        <c:noMultiLvlLbl val="0"/>
      </c:catAx>
      <c:valAx>
        <c:axId val="1691654607"/>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9165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in MS Excel.xlsx]kpi!PivotTable8</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kpi!$A$4:$A$14</c:f>
              <c:strCache>
                <c:ptCount val="10"/>
                <c:pt idx="0">
                  <c:v>January</c:v>
                </c:pt>
                <c:pt idx="1">
                  <c:v>March</c:v>
                </c:pt>
                <c:pt idx="2">
                  <c:v>April</c:v>
                </c:pt>
                <c:pt idx="3">
                  <c:v>May</c:v>
                </c:pt>
                <c:pt idx="4">
                  <c:v>July</c:v>
                </c:pt>
                <c:pt idx="5">
                  <c:v>August</c:v>
                </c:pt>
                <c:pt idx="6">
                  <c:v>September</c:v>
                </c:pt>
                <c:pt idx="7">
                  <c:v>October</c:v>
                </c:pt>
                <c:pt idx="8">
                  <c:v>November</c:v>
                </c:pt>
                <c:pt idx="9">
                  <c:v>December</c:v>
                </c:pt>
              </c:strCache>
            </c:strRef>
          </c:cat>
          <c:val>
            <c:numRef>
              <c:f>kpi!$B$4:$B$14</c:f>
              <c:numCache>
                <c:formatCode>General</c:formatCode>
                <c:ptCount val="10"/>
                <c:pt idx="0">
                  <c:v>7160788.1699999999</c:v>
                </c:pt>
                <c:pt idx="1">
                  <c:v>6508879.0399999991</c:v>
                </c:pt>
                <c:pt idx="2">
                  <c:v>7334962.9200000009</c:v>
                </c:pt>
                <c:pt idx="3">
                  <c:v>6706004.9699999979</c:v>
                </c:pt>
                <c:pt idx="4">
                  <c:v>7637324.9500000011</c:v>
                </c:pt>
                <c:pt idx="5">
                  <c:v>5418893.9799999995</c:v>
                </c:pt>
                <c:pt idx="6">
                  <c:v>6264222.3099999996</c:v>
                </c:pt>
                <c:pt idx="7">
                  <c:v>5702923.370000001</c:v>
                </c:pt>
                <c:pt idx="8">
                  <c:v>5578535.0799999991</c:v>
                </c:pt>
                <c:pt idx="9">
                  <c:v>6491639.9899999993</c:v>
                </c:pt>
              </c:numCache>
            </c:numRef>
          </c:val>
          <c:smooth val="0"/>
          <c:extLst>
            <c:ext xmlns:c16="http://schemas.microsoft.com/office/drawing/2014/chart" uri="{C3380CC4-5D6E-409C-BE32-E72D297353CC}">
              <c16:uniqueId val="{00000000-C839-4D92-A8EA-5CDB999154ED}"/>
            </c:ext>
          </c:extLst>
        </c:ser>
        <c:dLbls>
          <c:showLegendKey val="0"/>
          <c:showVal val="0"/>
          <c:showCatName val="0"/>
          <c:showSerName val="0"/>
          <c:showPercent val="0"/>
          <c:showBubbleSize val="0"/>
        </c:dLbls>
        <c:smooth val="0"/>
        <c:axId val="2086594287"/>
        <c:axId val="2086593327"/>
      </c:lineChart>
      <c:catAx>
        <c:axId val="208659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86593327"/>
        <c:crosses val="autoZero"/>
        <c:auto val="1"/>
        <c:lblAlgn val="ctr"/>
        <c:lblOffset val="100"/>
        <c:noMultiLvlLbl val="0"/>
      </c:catAx>
      <c:valAx>
        <c:axId val="2086593327"/>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8659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304800</xdr:colOff>
      <xdr:row>1</xdr:row>
      <xdr:rowOff>148590</xdr:rowOff>
    </xdr:from>
    <xdr:to>
      <xdr:col>10</xdr:col>
      <xdr:colOff>0</xdr:colOff>
      <xdr:row>15</xdr:row>
      <xdr:rowOff>167640</xdr:rowOff>
    </xdr:to>
    <xdr:graphicFrame macro="">
      <xdr:nvGraphicFramePr>
        <xdr:cNvPr id="2" name="Chart 1">
          <a:extLst>
            <a:ext uri="{FF2B5EF4-FFF2-40B4-BE49-F238E27FC236}">
              <a16:creationId xmlns:a16="http://schemas.microsoft.com/office/drawing/2014/main" id="{A458984F-AC1C-A8FB-0953-40860E564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297180</xdr:colOff>
      <xdr:row>16</xdr:row>
      <xdr:rowOff>163830</xdr:rowOff>
    </xdr:from>
    <xdr:to>
      <xdr:col>9</xdr:col>
      <xdr:colOff>601980</xdr:colOff>
      <xdr:row>29</xdr:row>
      <xdr:rowOff>60960</xdr:rowOff>
    </xdr:to>
    <xdr:graphicFrame macro="">
      <xdr:nvGraphicFramePr>
        <xdr:cNvPr id="3" name="Chart 2">
          <a:extLst>
            <a:ext uri="{FF2B5EF4-FFF2-40B4-BE49-F238E27FC236}">
              <a16:creationId xmlns:a16="http://schemas.microsoft.com/office/drawing/2014/main" id="{41B7C6B1-65C4-A875-7618-C893A51AD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297180</xdr:colOff>
      <xdr:row>30</xdr:row>
      <xdr:rowOff>0</xdr:rowOff>
    </xdr:from>
    <xdr:to>
      <xdr:col>9</xdr:col>
      <xdr:colOff>601980</xdr:colOff>
      <xdr:row>42</xdr:row>
      <xdr:rowOff>7620</xdr:rowOff>
    </xdr:to>
    <xdr:graphicFrame macro="">
      <xdr:nvGraphicFramePr>
        <xdr:cNvPr id="4" name="Chart 3">
          <a:extLst>
            <a:ext uri="{FF2B5EF4-FFF2-40B4-BE49-F238E27FC236}">
              <a16:creationId xmlns:a16="http://schemas.microsoft.com/office/drawing/2014/main" id="{5CB2C6CC-16EC-F258-A4EA-9871F44ED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44</xdr:row>
      <xdr:rowOff>41910</xdr:rowOff>
    </xdr:from>
    <xdr:to>
      <xdr:col>10</xdr:col>
      <xdr:colOff>304800</xdr:colOff>
      <xdr:row>57</xdr:row>
      <xdr:rowOff>60960</xdr:rowOff>
    </xdr:to>
    <xdr:graphicFrame macro="">
      <xdr:nvGraphicFramePr>
        <xdr:cNvPr id="5" name="Chart 4">
          <a:extLst>
            <a:ext uri="{FF2B5EF4-FFF2-40B4-BE49-F238E27FC236}">
              <a16:creationId xmlns:a16="http://schemas.microsoft.com/office/drawing/2014/main" id="{F854CCC2-0F47-8A33-4884-B83BFF966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571500</xdr:colOff>
      <xdr:row>59</xdr:row>
      <xdr:rowOff>41910</xdr:rowOff>
    </xdr:from>
    <xdr:to>
      <xdr:col>10</xdr:col>
      <xdr:colOff>129540</xdr:colOff>
      <xdr:row>71</xdr:row>
      <xdr:rowOff>38100</xdr:rowOff>
    </xdr:to>
    <xdr:graphicFrame macro="">
      <xdr:nvGraphicFramePr>
        <xdr:cNvPr id="6" name="Chart 5">
          <a:extLst>
            <a:ext uri="{FF2B5EF4-FFF2-40B4-BE49-F238E27FC236}">
              <a16:creationId xmlns:a16="http://schemas.microsoft.com/office/drawing/2014/main" id="{FC6393D4-3B72-DDCF-F024-1F363421F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541020</xdr:colOff>
      <xdr:row>72</xdr:row>
      <xdr:rowOff>11430</xdr:rowOff>
    </xdr:from>
    <xdr:to>
      <xdr:col>9</xdr:col>
      <xdr:colOff>434340</xdr:colOff>
      <xdr:row>84</xdr:row>
      <xdr:rowOff>144780</xdr:rowOff>
    </xdr:to>
    <xdr:graphicFrame macro="">
      <xdr:nvGraphicFramePr>
        <xdr:cNvPr id="7" name="Chart 6">
          <a:extLst>
            <a:ext uri="{FF2B5EF4-FFF2-40B4-BE49-F238E27FC236}">
              <a16:creationId xmlns:a16="http://schemas.microsoft.com/office/drawing/2014/main" id="{56552F2D-9A3C-8A1C-E3CE-4BBEDB7364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190500</xdr:colOff>
      <xdr:row>86</xdr:row>
      <xdr:rowOff>41910</xdr:rowOff>
    </xdr:from>
    <xdr:to>
      <xdr:col>10</xdr:col>
      <xdr:colOff>495300</xdr:colOff>
      <xdr:row>101</xdr:row>
      <xdr:rowOff>41910</xdr:rowOff>
    </xdr:to>
    <xdr:graphicFrame macro="">
      <xdr:nvGraphicFramePr>
        <xdr:cNvPr id="8" name="Chart 7">
          <a:extLst>
            <a:ext uri="{FF2B5EF4-FFF2-40B4-BE49-F238E27FC236}">
              <a16:creationId xmlns:a16="http://schemas.microsoft.com/office/drawing/2014/main" id="{9F8D8BF8-4CA7-E932-F64F-AF621F36D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22860</xdr:colOff>
      <xdr:row>103</xdr:row>
      <xdr:rowOff>110490</xdr:rowOff>
    </xdr:from>
    <xdr:to>
      <xdr:col>10</xdr:col>
      <xdr:colOff>327660</xdr:colOff>
      <xdr:row>118</xdr:row>
      <xdr:rowOff>110490</xdr:rowOff>
    </xdr:to>
    <xdr:graphicFrame macro="">
      <xdr:nvGraphicFramePr>
        <xdr:cNvPr id="9" name="Chart 8">
          <a:extLst>
            <a:ext uri="{FF2B5EF4-FFF2-40B4-BE49-F238E27FC236}">
              <a16:creationId xmlns:a16="http://schemas.microsoft.com/office/drawing/2014/main" id="{7F83A145-3F25-126F-F3BC-7CF65CEF7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120</xdr:row>
      <xdr:rowOff>7620</xdr:rowOff>
    </xdr:from>
    <xdr:to>
      <xdr:col>1</xdr:col>
      <xdr:colOff>853440</xdr:colOff>
      <xdr:row>133</xdr:row>
      <xdr:rowOff>97155</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8C548699-DFA9-FC09-A5EA-E2E7E936BD5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21953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236220</xdr:colOff>
      <xdr:row>120</xdr:row>
      <xdr:rowOff>22860</xdr:rowOff>
    </xdr:from>
    <xdr:to>
      <xdr:col>5</xdr:col>
      <xdr:colOff>236220</xdr:colOff>
      <xdr:row>133</xdr:row>
      <xdr:rowOff>112395</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F6B08179-71BB-F154-49B3-C093820BD49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82240" y="21968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449580</xdr:colOff>
      <xdr:row>120</xdr:row>
      <xdr:rowOff>7620</xdr:rowOff>
    </xdr:from>
    <xdr:to>
      <xdr:col>8</xdr:col>
      <xdr:colOff>449580</xdr:colOff>
      <xdr:row>133</xdr:row>
      <xdr:rowOff>97155</xdr:rowOff>
    </xdr:to>
    <mc:AlternateContent xmlns:mc="http://schemas.openxmlformats.org/markup-compatibility/2006" xmlns:a14="http://schemas.microsoft.com/office/drawing/2010/main">
      <mc:Choice Requires="a14">
        <xdr:graphicFrame macro="">
          <xdr:nvGraphicFramePr>
            <xdr:cNvPr id="12" name="Payment Method">
              <a:extLst>
                <a:ext uri="{FF2B5EF4-FFF2-40B4-BE49-F238E27FC236}">
                  <a16:creationId xmlns:a16="http://schemas.microsoft.com/office/drawing/2014/main" id="{78A10A6E-9FC2-0AAF-57C1-CB4A2E86EC8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4724400" y="21953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320040</xdr:colOff>
      <xdr:row>134</xdr:row>
      <xdr:rowOff>53340</xdr:rowOff>
    </xdr:from>
    <xdr:to>
      <xdr:col>5</xdr:col>
      <xdr:colOff>320040</xdr:colOff>
      <xdr:row>147</xdr:row>
      <xdr:rowOff>142875</xdr:rowOff>
    </xdr:to>
    <mc:AlternateContent xmlns:mc="http://schemas.openxmlformats.org/markup-compatibility/2006" xmlns:a14="http://schemas.microsoft.com/office/drawing/2010/main">
      <mc:Choice Requires="a14">
        <xdr:graphicFrame macro="">
          <xdr:nvGraphicFramePr>
            <xdr:cNvPr id="13" name="Delivery Status">
              <a:extLst>
                <a:ext uri="{FF2B5EF4-FFF2-40B4-BE49-F238E27FC236}">
                  <a16:creationId xmlns:a16="http://schemas.microsoft.com/office/drawing/2014/main" id="{AFACD1A5-18BE-9DC0-B927-04BCFBFE2AC4}"/>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766060" y="24559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134</xdr:row>
      <xdr:rowOff>38100</xdr:rowOff>
    </xdr:from>
    <xdr:to>
      <xdr:col>1</xdr:col>
      <xdr:colOff>967740</xdr:colOff>
      <xdr:row>147</xdr:row>
      <xdr:rowOff>127635</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301B06D2-812F-E837-FF0F-F762AC9D793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4300" y="24544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556260</xdr:colOff>
      <xdr:row>105</xdr:row>
      <xdr:rowOff>60960</xdr:rowOff>
    </xdr:from>
    <xdr:to>
      <xdr:col>14</xdr:col>
      <xdr:colOff>289560</xdr:colOff>
      <xdr:row>118</xdr:row>
      <xdr:rowOff>150495</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0DBD3CF3-67EC-5DB7-4BD4-6B9AC00E65E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654540" y="19263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137160</xdr:rowOff>
    </xdr:from>
    <xdr:to>
      <xdr:col>15</xdr:col>
      <xdr:colOff>495300</xdr:colOff>
      <xdr:row>4</xdr:row>
      <xdr:rowOff>121920</xdr:rowOff>
    </xdr:to>
    <xdr:sp macro="" textlink="">
      <xdr:nvSpPr>
        <xdr:cNvPr id="2" name="Rectangle 1">
          <a:extLst>
            <a:ext uri="{FF2B5EF4-FFF2-40B4-BE49-F238E27FC236}">
              <a16:creationId xmlns:a16="http://schemas.microsoft.com/office/drawing/2014/main" id="{AB3D7A02-BD6E-D050-AE3B-5AAD9152235C}"/>
            </a:ext>
          </a:extLst>
        </xdr:cNvPr>
        <xdr:cNvSpPr/>
      </xdr:nvSpPr>
      <xdr:spPr>
        <a:xfrm>
          <a:off x="0" y="318135"/>
          <a:ext cx="9639300" cy="52768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cap="none" spc="50">
              <a:ln w="0"/>
              <a:solidFill>
                <a:schemeClr val="bg1"/>
              </a:solidFill>
              <a:effectLst>
                <a:innerShdw blurRad="63500" dist="50800" dir="13500000">
                  <a:srgbClr val="000000">
                    <a:alpha val="50000"/>
                  </a:srgbClr>
                </a:innerShdw>
              </a:effectLst>
            </a:rPr>
            <a:t>           </a:t>
          </a:r>
        </a:p>
      </xdr:txBody>
    </xdr:sp>
    <xdr:clientData/>
  </xdr:twoCellAnchor>
  <xdr:twoCellAnchor editAs="oneCell">
    <xdr:from>
      <xdr:col>0</xdr:col>
      <xdr:colOff>0</xdr:colOff>
      <xdr:row>5</xdr:row>
      <xdr:rowOff>-1</xdr:rowOff>
    </xdr:from>
    <xdr:to>
      <xdr:col>2</xdr:col>
      <xdr:colOff>373380</xdr:colOff>
      <xdr:row>17</xdr:row>
      <xdr:rowOff>21770</xdr:rowOff>
    </xdr:to>
    <mc:AlternateContent xmlns:mc="http://schemas.openxmlformats.org/markup-compatibility/2006" xmlns:a14="http://schemas.microsoft.com/office/drawing/2010/main">
      <mc:Choice Requires="a14">
        <xdr:graphicFrame macro="">
          <xdr:nvGraphicFramePr>
            <xdr:cNvPr id="3" name="State 1">
              <a:extLst>
                <a:ext uri="{FF2B5EF4-FFF2-40B4-BE49-F238E27FC236}">
                  <a16:creationId xmlns:a16="http://schemas.microsoft.com/office/drawing/2014/main" id="{A88D9FCC-2B2A-421B-9584-EEE4F6446BE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0" y="925285"/>
              <a:ext cx="1592580" cy="2525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17</xdr:row>
      <xdr:rowOff>54429</xdr:rowOff>
    </xdr:from>
    <xdr:to>
      <xdr:col>2</xdr:col>
      <xdr:colOff>373380</xdr:colOff>
      <xdr:row>26</xdr:row>
      <xdr:rowOff>100149</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F4B8EFD1-D444-45AF-AFDA-A855782E9F2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240" y="3483429"/>
              <a:ext cx="1577340" cy="1711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175260</xdr:rowOff>
    </xdr:from>
    <xdr:to>
      <xdr:col>2</xdr:col>
      <xdr:colOff>373380</xdr:colOff>
      <xdr:row>37</xdr:row>
      <xdr:rowOff>137159</xdr:rowOff>
    </xdr:to>
    <mc:AlternateContent xmlns:mc="http://schemas.openxmlformats.org/markup-compatibility/2006" xmlns:a14="http://schemas.microsoft.com/office/drawing/2010/main">
      <mc:Choice Requires="a14">
        <xdr:graphicFrame macro="">
          <xdr:nvGraphicFramePr>
            <xdr:cNvPr id="5" name="Payment Method 1">
              <a:extLst>
                <a:ext uri="{FF2B5EF4-FFF2-40B4-BE49-F238E27FC236}">
                  <a16:creationId xmlns:a16="http://schemas.microsoft.com/office/drawing/2014/main" id="{7AC02BAF-BBA1-4450-9364-9F48044D5989}"/>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0" y="5269774"/>
              <a:ext cx="1592580" cy="1997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8165</xdr:rowOff>
    </xdr:from>
    <xdr:to>
      <xdr:col>2</xdr:col>
      <xdr:colOff>365760</xdr:colOff>
      <xdr:row>44</xdr:row>
      <xdr:rowOff>94161</xdr:rowOff>
    </xdr:to>
    <mc:AlternateContent xmlns:mc="http://schemas.openxmlformats.org/markup-compatibility/2006" xmlns:a14="http://schemas.microsoft.com/office/drawing/2010/main">
      <mc:Choice Requires="a14">
        <xdr:graphicFrame macro="">
          <xdr:nvGraphicFramePr>
            <xdr:cNvPr id="6" name="Delivery Status 1">
              <a:extLst>
                <a:ext uri="{FF2B5EF4-FFF2-40B4-BE49-F238E27FC236}">
                  <a16:creationId xmlns:a16="http://schemas.microsoft.com/office/drawing/2014/main" id="{393BB47D-A178-4D8B-8B55-7427726AA576}"/>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0" y="7323365"/>
              <a:ext cx="158496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306705</xdr:colOff>
      <xdr:row>32</xdr:row>
      <xdr:rowOff>130628</xdr:rowOff>
    </xdr:from>
    <xdr:to>
      <xdr:col>15</xdr:col>
      <xdr:colOff>520065</xdr:colOff>
      <xdr:row>44</xdr:row>
      <xdr:rowOff>116205</xdr:rowOff>
    </xdr:to>
    <xdr:graphicFrame macro="">
      <xdr:nvGraphicFramePr>
        <xdr:cNvPr id="7" name="Chart 6">
          <a:extLst>
            <a:ext uri="{FF2B5EF4-FFF2-40B4-BE49-F238E27FC236}">
              <a16:creationId xmlns:a16="http://schemas.microsoft.com/office/drawing/2014/main" id="{171CCD79-8A83-436A-92AB-CD68E9413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320040</xdr:colOff>
      <xdr:row>8</xdr:row>
      <xdr:rowOff>142875</xdr:rowOff>
    </xdr:from>
    <xdr:to>
      <xdr:col>15</xdr:col>
      <xdr:colOff>495300</xdr:colOff>
      <xdr:row>20</xdr:row>
      <xdr:rowOff>30480</xdr:rowOff>
    </xdr:to>
    <xdr:graphicFrame macro="">
      <xdr:nvGraphicFramePr>
        <xdr:cNvPr id="8" name="Chart 7">
          <a:extLst>
            <a:ext uri="{FF2B5EF4-FFF2-40B4-BE49-F238E27FC236}">
              <a16:creationId xmlns:a16="http://schemas.microsoft.com/office/drawing/2014/main" id="{B279D32D-6396-43FA-89ED-043F181E2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479516</xdr:colOff>
      <xdr:row>20</xdr:row>
      <xdr:rowOff>90623</xdr:rowOff>
    </xdr:from>
    <xdr:to>
      <xdr:col>7</xdr:col>
      <xdr:colOff>7076</xdr:colOff>
      <xdr:row>32</xdr:row>
      <xdr:rowOff>90623</xdr:rowOff>
    </xdr:to>
    <xdr:graphicFrame macro="">
      <xdr:nvGraphicFramePr>
        <xdr:cNvPr id="9" name="Chart 8">
          <a:extLst>
            <a:ext uri="{FF2B5EF4-FFF2-40B4-BE49-F238E27FC236}">
              <a16:creationId xmlns:a16="http://schemas.microsoft.com/office/drawing/2014/main" id="{64BC2BB6-BC00-4A86-A473-35E99E79D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81915</xdr:colOff>
      <xdr:row>20</xdr:row>
      <xdr:rowOff>91984</xdr:rowOff>
    </xdr:from>
    <xdr:to>
      <xdr:col>11</xdr:col>
      <xdr:colOff>65314</xdr:colOff>
      <xdr:row>32</xdr:row>
      <xdr:rowOff>84364</xdr:rowOff>
    </xdr:to>
    <xdr:graphicFrame macro="">
      <xdr:nvGraphicFramePr>
        <xdr:cNvPr id="10" name="Chart 9">
          <a:extLst>
            <a:ext uri="{FF2B5EF4-FFF2-40B4-BE49-F238E27FC236}">
              <a16:creationId xmlns:a16="http://schemas.microsoft.com/office/drawing/2014/main" id="{D963F805-35C1-40F1-86B0-CE24C9880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461010</xdr:colOff>
      <xdr:row>32</xdr:row>
      <xdr:rowOff>130628</xdr:rowOff>
    </xdr:from>
    <xdr:to>
      <xdr:col>9</xdr:col>
      <xdr:colOff>232410</xdr:colOff>
      <xdr:row>44</xdr:row>
      <xdr:rowOff>114300</xdr:rowOff>
    </xdr:to>
    <xdr:graphicFrame macro="">
      <xdr:nvGraphicFramePr>
        <xdr:cNvPr id="11" name="Chart 10">
          <a:extLst>
            <a:ext uri="{FF2B5EF4-FFF2-40B4-BE49-F238E27FC236}">
              <a16:creationId xmlns:a16="http://schemas.microsoft.com/office/drawing/2014/main" id="{D2BFA6EE-4D40-4CDD-BFC0-1CDE40A18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118654</xdr:colOff>
      <xdr:row>20</xdr:row>
      <xdr:rowOff>100149</xdr:rowOff>
    </xdr:from>
    <xdr:to>
      <xdr:col>15</xdr:col>
      <xdr:colOff>514894</xdr:colOff>
      <xdr:row>32</xdr:row>
      <xdr:rowOff>84909</xdr:rowOff>
    </xdr:to>
    <xdr:graphicFrame macro="">
      <xdr:nvGraphicFramePr>
        <xdr:cNvPr id="12" name="Chart 11">
          <a:extLst>
            <a:ext uri="{FF2B5EF4-FFF2-40B4-BE49-F238E27FC236}">
              <a16:creationId xmlns:a16="http://schemas.microsoft.com/office/drawing/2014/main" id="{279D6F78-93F0-4255-9EDC-0491C3393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472440</xdr:colOff>
      <xdr:row>8</xdr:row>
      <xdr:rowOff>152400</xdr:rowOff>
    </xdr:from>
    <xdr:to>
      <xdr:col>9</xdr:col>
      <xdr:colOff>274320</xdr:colOff>
      <xdr:row>20</xdr:row>
      <xdr:rowOff>38100</xdr:rowOff>
    </xdr:to>
    <xdr:graphicFrame macro="">
      <xdr:nvGraphicFramePr>
        <xdr:cNvPr id="13" name="Chart 12">
          <a:extLst>
            <a:ext uri="{FF2B5EF4-FFF2-40B4-BE49-F238E27FC236}">
              <a16:creationId xmlns:a16="http://schemas.microsoft.com/office/drawing/2014/main" id="{B0DAB1D3-B9FF-42C4-9CC8-D83BF2F00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469445</xdr:colOff>
      <xdr:row>5</xdr:row>
      <xdr:rowOff>19050</xdr:rowOff>
    </xdr:from>
    <xdr:to>
      <xdr:col>5</xdr:col>
      <xdr:colOff>517070</xdr:colOff>
      <xdr:row>8</xdr:row>
      <xdr:rowOff>95250</xdr:rowOff>
    </xdr:to>
    <xdr:sp macro="" textlink="">
      <xdr:nvSpPr>
        <xdr:cNvPr id="14" name="Rectangle 13">
          <a:extLst>
            <a:ext uri="{FF2B5EF4-FFF2-40B4-BE49-F238E27FC236}">
              <a16:creationId xmlns:a16="http://schemas.microsoft.com/office/drawing/2014/main" id="{99CBF13F-2B50-829B-1F4A-1706C9E59F92}"/>
            </a:ext>
          </a:extLst>
        </xdr:cNvPr>
        <xdr:cNvSpPr/>
      </xdr:nvSpPr>
      <xdr:spPr>
        <a:xfrm>
          <a:off x="1688645" y="944336"/>
          <a:ext cx="1876425" cy="631371"/>
        </a:xfrm>
        <a:prstGeom prst="rect">
          <a:avLst/>
        </a:prstGeom>
        <a:solidFill>
          <a:schemeClr val="tx2">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000">
              <a:solidFill>
                <a:schemeClr val="bg1"/>
              </a:solidFill>
            </a:rPr>
            <a:t>Total</a:t>
          </a:r>
          <a:r>
            <a:rPr lang="en-US" sz="2000" baseline="0">
              <a:solidFill>
                <a:schemeClr val="bg1"/>
              </a:solidFill>
            </a:rPr>
            <a:t> Sales</a:t>
          </a:r>
          <a:endParaRPr lang="en-US" sz="2000">
            <a:solidFill>
              <a:schemeClr val="bg1"/>
            </a:solidFill>
          </a:endParaRPr>
        </a:p>
      </xdr:txBody>
    </xdr:sp>
    <xdr:clientData/>
  </xdr:twoCellAnchor>
  <xdr:twoCellAnchor>
    <xdr:from>
      <xdr:col>5</xdr:col>
      <xdr:colOff>552450</xdr:colOff>
      <xdr:row>5</xdr:row>
      <xdr:rowOff>19050</xdr:rowOff>
    </xdr:from>
    <xdr:to>
      <xdr:col>9</xdr:col>
      <xdr:colOff>133350</xdr:colOff>
      <xdr:row>8</xdr:row>
      <xdr:rowOff>95251</xdr:rowOff>
    </xdr:to>
    <xdr:sp macro="" textlink="">
      <xdr:nvSpPr>
        <xdr:cNvPr id="15" name="Rectangle 14">
          <a:extLst>
            <a:ext uri="{FF2B5EF4-FFF2-40B4-BE49-F238E27FC236}">
              <a16:creationId xmlns:a16="http://schemas.microsoft.com/office/drawing/2014/main" id="{6A8B35D7-88C4-D702-0C1E-6B83763E4FE9}"/>
            </a:ext>
          </a:extLst>
        </xdr:cNvPr>
        <xdr:cNvSpPr/>
      </xdr:nvSpPr>
      <xdr:spPr>
        <a:xfrm>
          <a:off x="3600450" y="923925"/>
          <a:ext cx="2019300" cy="619126"/>
        </a:xfrm>
        <a:prstGeom prst="rect">
          <a:avLst/>
        </a:prstGeom>
        <a:solidFill>
          <a:schemeClr val="tx2">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800">
              <a:solidFill>
                <a:schemeClr val="bg1"/>
              </a:solidFill>
            </a:rPr>
            <a:t>Total profit</a:t>
          </a:r>
        </a:p>
      </xdr:txBody>
    </xdr:sp>
    <xdr:clientData/>
  </xdr:twoCellAnchor>
  <xdr:twoCellAnchor>
    <xdr:from>
      <xdr:col>9</xdr:col>
      <xdr:colOff>200026</xdr:colOff>
      <xdr:row>5</xdr:row>
      <xdr:rowOff>9525</xdr:rowOff>
    </xdr:from>
    <xdr:to>
      <xdr:col>12</xdr:col>
      <xdr:colOff>390526</xdr:colOff>
      <xdr:row>8</xdr:row>
      <xdr:rowOff>85725</xdr:rowOff>
    </xdr:to>
    <xdr:sp macro="" textlink="">
      <xdr:nvSpPr>
        <xdr:cNvPr id="16" name="Rectangle 15">
          <a:extLst>
            <a:ext uri="{FF2B5EF4-FFF2-40B4-BE49-F238E27FC236}">
              <a16:creationId xmlns:a16="http://schemas.microsoft.com/office/drawing/2014/main" id="{683AED49-3C30-3D84-C8E8-EF6BE2E462BD}"/>
            </a:ext>
          </a:extLst>
        </xdr:cNvPr>
        <xdr:cNvSpPr/>
      </xdr:nvSpPr>
      <xdr:spPr>
        <a:xfrm>
          <a:off x="5686426" y="914400"/>
          <a:ext cx="2019300" cy="619125"/>
        </a:xfrm>
        <a:prstGeom prst="rect">
          <a:avLst/>
        </a:prstGeom>
        <a:solidFill>
          <a:schemeClr val="tx2">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800">
              <a:solidFill>
                <a:schemeClr val="bg1"/>
              </a:solidFill>
            </a:rPr>
            <a:t>Average Rating</a:t>
          </a:r>
        </a:p>
      </xdr:txBody>
    </xdr:sp>
    <xdr:clientData/>
  </xdr:twoCellAnchor>
  <xdr:twoCellAnchor>
    <xdr:from>
      <xdr:col>12</xdr:col>
      <xdr:colOff>457200</xdr:colOff>
      <xdr:row>5</xdr:row>
      <xdr:rowOff>9525</xdr:rowOff>
    </xdr:from>
    <xdr:to>
      <xdr:col>15</xdr:col>
      <xdr:colOff>485775</xdr:colOff>
      <xdr:row>8</xdr:row>
      <xdr:rowOff>76200</xdr:rowOff>
    </xdr:to>
    <xdr:sp macro="" textlink="">
      <xdr:nvSpPr>
        <xdr:cNvPr id="17" name="Rectangle 16">
          <a:extLst>
            <a:ext uri="{FF2B5EF4-FFF2-40B4-BE49-F238E27FC236}">
              <a16:creationId xmlns:a16="http://schemas.microsoft.com/office/drawing/2014/main" id="{97EFC93E-1B49-E483-DD51-992D1340E8FC}"/>
            </a:ext>
          </a:extLst>
        </xdr:cNvPr>
        <xdr:cNvSpPr/>
      </xdr:nvSpPr>
      <xdr:spPr>
        <a:xfrm>
          <a:off x="7772400" y="914400"/>
          <a:ext cx="1857375" cy="609600"/>
        </a:xfrm>
        <a:prstGeom prst="rect">
          <a:avLst/>
        </a:prstGeom>
        <a:solidFill>
          <a:schemeClr val="tx2">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800">
              <a:solidFill>
                <a:schemeClr val="bg1"/>
              </a:solidFill>
            </a:rPr>
            <a:t>Discount %</a:t>
          </a:r>
        </a:p>
      </xdr:txBody>
    </xdr:sp>
    <xdr:clientData/>
  </xdr:twoCellAnchor>
  <xdr:twoCellAnchor>
    <xdr:from>
      <xdr:col>2</xdr:col>
      <xdr:colOff>500743</xdr:colOff>
      <xdr:row>6</xdr:row>
      <xdr:rowOff>152400</xdr:rowOff>
    </xdr:from>
    <xdr:to>
      <xdr:col>5</xdr:col>
      <xdr:colOff>446314</xdr:colOff>
      <xdr:row>8</xdr:row>
      <xdr:rowOff>76200</xdr:rowOff>
    </xdr:to>
    <xdr:sp macro="" textlink="kpi!$L$6">
      <xdr:nvSpPr>
        <xdr:cNvPr id="18" name="Rectangle 17">
          <a:extLst>
            <a:ext uri="{FF2B5EF4-FFF2-40B4-BE49-F238E27FC236}">
              <a16:creationId xmlns:a16="http://schemas.microsoft.com/office/drawing/2014/main" id="{39C90F28-589F-1AD2-1AAE-4DCF278655DE}"/>
            </a:ext>
          </a:extLst>
        </xdr:cNvPr>
        <xdr:cNvSpPr/>
      </xdr:nvSpPr>
      <xdr:spPr>
        <a:xfrm>
          <a:off x="1719943" y="1262743"/>
          <a:ext cx="1774371" cy="293914"/>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2C5D71C-3EB4-464E-B427-F63C34B8A5DA}" type="TxLink">
            <a:rPr lang="en-US" sz="1800" b="0" i="0" u="none" strike="noStrike">
              <a:solidFill>
                <a:schemeClr val="bg1"/>
              </a:solidFill>
              <a:latin typeface="Calibri"/>
              <a:ea typeface="Calibri"/>
              <a:cs typeface="Calibri"/>
            </a:rPr>
            <a:pPr algn="ctr"/>
            <a:t>75213112.74</a:t>
          </a:fld>
          <a:endParaRPr lang="en-IN" sz="1800">
            <a:solidFill>
              <a:schemeClr val="bg1"/>
            </a:solidFill>
          </a:endParaRPr>
        </a:p>
      </xdr:txBody>
    </xdr:sp>
    <xdr:clientData/>
  </xdr:twoCellAnchor>
  <xdr:twoCellAnchor>
    <xdr:from>
      <xdr:col>12</xdr:col>
      <xdr:colOff>522514</xdr:colOff>
      <xdr:row>6</xdr:row>
      <xdr:rowOff>97970</xdr:rowOff>
    </xdr:from>
    <xdr:to>
      <xdr:col>15</xdr:col>
      <xdr:colOff>413657</xdr:colOff>
      <xdr:row>8</xdr:row>
      <xdr:rowOff>76199</xdr:rowOff>
    </xdr:to>
    <xdr:sp macro="" textlink="kpi!$L$10">
      <xdr:nvSpPr>
        <xdr:cNvPr id="19" name="Rectangle 18">
          <a:extLst>
            <a:ext uri="{FF2B5EF4-FFF2-40B4-BE49-F238E27FC236}">
              <a16:creationId xmlns:a16="http://schemas.microsoft.com/office/drawing/2014/main" id="{566F39A7-337A-5878-7D1B-D68C841EAE61}"/>
            </a:ext>
          </a:extLst>
        </xdr:cNvPr>
        <xdr:cNvSpPr/>
      </xdr:nvSpPr>
      <xdr:spPr>
        <a:xfrm>
          <a:off x="7837714" y="1208313"/>
          <a:ext cx="1719943" cy="348343"/>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7270977-1872-4A14-9775-D436925E94DE}" type="TxLink">
            <a:rPr lang="en-US" sz="1800" b="0" i="0" u="none" strike="noStrike">
              <a:solidFill>
                <a:schemeClr val="bg1"/>
              </a:solidFill>
              <a:latin typeface="Calibri"/>
              <a:ea typeface="Calibri"/>
              <a:cs typeface="Calibri"/>
            </a:rPr>
            <a:pPr algn="ctr"/>
            <a:t>17120</a:t>
          </a:fld>
          <a:endParaRPr lang="en-IN" sz="1800">
            <a:solidFill>
              <a:schemeClr val="bg1"/>
            </a:solidFill>
          </a:endParaRPr>
        </a:p>
      </xdr:txBody>
    </xdr:sp>
    <xdr:clientData/>
  </xdr:twoCellAnchor>
  <xdr:twoCellAnchor>
    <xdr:from>
      <xdr:col>9</xdr:col>
      <xdr:colOff>272143</xdr:colOff>
      <xdr:row>6</xdr:row>
      <xdr:rowOff>119743</xdr:rowOff>
    </xdr:from>
    <xdr:to>
      <xdr:col>12</xdr:col>
      <xdr:colOff>337457</xdr:colOff>
      <xdr:row>8</xdr:row>
      <xdr:rowOff>87087</xdr:rowOff>
    </xdr:to>
    <xdr:sp macro="" textlink="kpi!$G$691">
      <xdr:nvSpPr>
        <xdr:cNvPr id="20" name="Rectangle 19">
          <a:extLst>
            <a:ext uri="{FF2B5EF4-FFF2-40B4-BE49-F238E27FC236}">
              <a16:creationId xmlns:a16="http://schemas.microsoft.com/office/drawing/2014/main" id="{2A1C3CD2-8356-95C9-82B1-B3D97C4B6AB0}"/>
            </a:ext>
          </a:extLst>
        </xdr:cNvPr>
        <xdr:cNvSpPr/>
      </xdr:nvSpPr>
      <xdr:spPr>
        <a:xfrm>
          <a:off x="5758543" y="1230086"/>
          <a:ext cx="1894114" cy="337458"/>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2DA86B2-42DA-4299-8565-00C5208246E6}" type="TxLink">
            <a:rPr lang="en-US" sz="2000" b="0" i="0" u="none" strike="noStrike">
              <a:solidFill>
                <a:schemeClr val="bg1"/>
              </a:solidFill>
              <a:latin typeface="Calibri"/>
              <a:ea typeface="Calibri"/>
              <a:cs typeface="Calibri"/>
            </a:rPr>
            <a:pPr algn="ctr"/>
            <a:t>3011.1</a:t>
          </a:fld>
          <a:endParaRPr lang="en-IN" sz="2000">
            <a:solidFill>
              <a:schemeClr val="bg1"/>
            </a:solidFill>
          </a:endParaRPr>
        </a:p>
      </xdr:txBody>
    </xdr:sp>
    <xdr:clientData/>
  </xdr:twoCellAnchor>
  <xdr:twoCellAnchor>
    <xdr:from>
      <xdr:col>6</xdr:col>
      <xdr:colOff>54430</xdr:colOff>
      <xdr:row>6</xdr:row>
      <xdr:rowOff>152399</xdr:rowOff>
    </xdr:from>
    <xdr:to>
      <xdr:col>9</xdr:col>
      <xdr:colOff>43544</xdr:colOff>
      <xdr:row>8</xdr:row>
      <xdr:rowOff>54428</xdr:rowOff>
    </xdr:to>
    <xdr:sp macro="" textlink="kpi!$L$20">
      <xdr:nvSpPr>
        <xdr:cNvPr id="21" name="Rectangle 20">
          <a:extLst>
            <a:ext uri="{FF2B5EF4-FFF2-40B4-BE49-F238E27FC236}">
              <a16:creationId xmlns:a16="http://schemas.microsoft.com/office/drawing/2014/main" id="{0EC1FF3B-AF16-9FC2-C85A-99FD8501C48E}"/>
            </a:ext>
          </a:extLst>
        </xdr:cNvPr>
        <xdr:cNvSpPr/>
      </xdr:nvSpPr>
      <xdr:spPr>
        <a:xfrm>
          <a:off x="3712030" y="1262742"/>
          <a:ext cx="1817914" cy="272143"/>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9511FD7-E05D-45EB-880D-B01FF451E160}" type="TxLink">
            <a:rPr lang="en-US" sz="1800" b="0" i="0" u="none" strike="noStrike">
              <a:solidFill>
                <a:schemeClr val="bg1"/>
              </a:solidFill>
              <a:latin typeface="Calibri"/>
              <a:ea typeface="Calibri"/>
              <a:cs typeface="Calibri"/>
            </a:rPr>
            <a:pPr algn="ctr"/>
            <a:t>18708577.17</a:t>
          </a:fld>
          <a:endParaRPr lang="en-US" sz="1800">
            <a:solidFill>
              <a:schemeClr val="bg1"/>
            </a:solidFill>
          </a:endParaRPr>
        </a:p>
      </xdr:txBody>
    </xdr:sp>
    <xdr:clientData/>
  </xdr:twoCellAnchor>
  <xdr:twoCellAnchor editAs="oneCell">
    <xdr:from>
      <xdr:col>0</xdr:col>
      <xdr:colOff>261257</xdr:colOff>
      <xdr:row>2</xdr:row>
      <xdr:rowOff>32657</xdr:rowOff>
    </xdr:from>
    <xdr:to>
      <xdr:col>4</xdr:col>
      <xdr:colOff>217714</xdr:colOff>
      <xdr:row>4</xdr:row>
      <xdr:rowOff>87086</xdr:rowOff>
    </xdr:to>
    <xdr:pic>
      <xdr:nvPicPr>
        <xdr:cNvPr id="23" name="Picture 22">
          <a:extLst>
            <a:ext uri="{FF2B5EF4-FFF2-40B4-BE49-F238E27FC236}">
              <a16:creationId xmlns:a16="http://schemas.microsoft.com/office/drawing/2014/main" id="{47F98BC5-8AF4-3FF7-1425-21C40B5BD48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61257" y="402771"/>
          <a:ext cx="2394857" cy="424544"/>
        </a:xfrm>
        <a:prstGeom prst="rect">
          <a:avLst/>
        </a:prstGeom>
      </xdr:spPr>
    </xdr:pic>
    <xdr:clientData/>
  </xdr:twoCellAnchor>
  <xdr:twoCellAnchor>
    <xdr:from>
      <xdr:col>4</xdr:col>
      <xdr:colOff>359229</xdr:colOff>
      <xdr:row>2</xdr:row>
      <xdr:rowOff>21772</xdr:rowOff>
    </xdr:from>
    <xdr:to>
      <xdr:col>15</xdr:col>
      <xdr:colOff>359229</xdr:colOff>
      <xdr:row>4</xdr:row>
      <xdr:rowOff>32657</xdr:rowOff>
    </xdr:to>
    <xdr:sp macro="" textlink="">
      <xdr:nvSpPr>
        <xdr:cNvPr id="24" name="Rectangle 23">
          <a:extLst>
            <a:ext uri="{FF2B5EF4-FFF2-40B4-BE49-F238E27FC236}">
              <a16:creationId xmlns:a16="http://schemas.microsoft.com/office/drawing/2014/main" id="{31CB65B5-A164-CBF5-A748-9EFC50F63950}"/>
            </a:ext>
          </a:extLst>
        </xdr:cNvPr>
        <xdr:cNvSpPr/>
      </xdr:nvSpPr>
      <xdr:spPr>
        <a:xfrm>
          <a:off x="2797629" y="391886"/>
          <a:ext cx="6705600" cy="381000"/>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cap="none" spc="50">
              <a:ln w="0"/>
              <a:solidFill>
                <a:schemeClr val="bg1"/>
              </a:solidFill>
              <a:effectLst>
                <a:innerShdw blurRad="63500" dist="50800" dir="13500000">
                  <a:srgbClr val="000000">
                    <a:alpha val="50000"/>
                  </a:srgbClr>
                </a:innerShdw>
              </a:effectLst>
            </a:rPr>
            <a:t>FlipKart Sale Performance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GUPTA" refreshedDate="46233.42956261574" createdVersion="8" refreshedVersion="8" minRefreshableVersion="3" recordCount="1000" xr:uid="{8D06718C-B67B-4762-9833-A8213639AC15}">
  <cacheSource type="worksheet">
    <worksheetSource name="Table1"/>
  </cacheSource>
  <cacheFields count="20">
    <cacheField name="Order ID" numFmtId="0">
      <sharedItems/>
    </cacheField>
    <cacheField name="Order Date" numFmtId="0">
      <sharedItems/>
    </cacheField>
    <cacheField name="Customer Name" numFmtId="0">
      <sharedItems/>
    </cacheField>
    <cacheField name="State" numFmtId="0">
      <sharedItems count="8">
        <s v="Delhi"/>
        <s v="West Bengal"/>
        <s v="Gujarat"/>
        <s v="Karnataka"/>
        <s v="Maharashtra"/>
        <s v="Telangana"/>
        <s v="Uttar Pradesh"/>
        <s v="Tamil Nadu"/>
      </sharedItems>
    </cacheField>
    <cacheField name="City" numFmtId="0">
      <sharedItems/>
    </cacheField>
    <cacheField name="Category" numFmtId="0">
      <sharedItems count="5">
        <s v="Books"/>
        <s v="Clothing"/>
        <s v="Beauty"/>
        <s v="Electronics"/>
        <s v="Home &amp; Kitchen"/>
      </sharedItems>
    </cacheField>
    <cacheField name="Sub-Category" numFmtId="0">
      <sharedItems/>
    </cacheField>
    <cacheField name="Product Name" numFmtId="0">
      <sharedItems count="25">
        <s v="Educational Book"/>
        <s v="Jeans"/>
        <s v="Face Cream"/>
        <s v="Smartwatch"/>
        <s v="Cookware Set"/>
        <s v="Mixer Grinder"/>
        <s v="Sneakers"/>
        <s v="Table Lamp"/>
        <s v="Jacket"/>
        <s v="Tablet"/>
        <s v="Perfume"/>
        <s v="Lipstick"/>
        <s v="Smartphone"/>
        <s v="Comic Book"/>
        <s v="Cookbook"/>
        <s v="T-Shirt"/>
        <s v="Bedsheet"/>
        <s v="Hair Dryer"/>
        <s v="Laptop"/>
        <s v="Shampoo"/>
        <s v="Headphones"/>
        <s v="Fiction Novel"/>
        <s v="Self-Help Book"/>
        <s v="Sofa Cover"/>
        <s v="Dress"/>
      </sharedItems>
    </cacheField>
    <cacheField name="Brand" numFmtId="0">
      <sharedItems count="15">
        <s v="HarperCollins"/>
        <s v="Generic"/>
        <s v="Mamaearth"/>
        <s v="Lenovo"/>
        <s v="Prestige"/>
        <s v="Apple"/>
        <s v="Lakme"/>
        <s v="Penguin"/>
        <s v="HP"/>
        <s v="Pigeon"/>
        <s v="Milton"/>
        <s v="Maybelline"/>
        <s v="Boat"/>
        <s v="Samsung"/>
        <s v="Sony"/>
      </sharedItems>
    </cacheField>
    <cacheField name="Quantity Sold" numFmtId="0">
      <sharedItems containsSemiMixedTypes="0" containsString="0" containsNumber="1" containsInteger="1" minValue="1" maxValue="5"/>
    </cacheField>
    <cacheField name="Price (INR)" numFmtId="0">
      <sharedItems containsSemiMixedTypes="0" containsString="0" containsNumber="1" minValue="139.85" maxValue="49911.75"/>
    </cacheField>
    <cacheField name="Discount %" numFmtId="0">
      <sharedItems containsSemiMixedTypes="0" containsString="0" containsNumber="1" containsInteger="1" minValue="5" maxValue="30"/>
    </cacheField>
    <cacheField name="Total Sales (INR)" numFmtId="0">
      <sharedItems containsSemiMixedTypes="0" containsString="0" containsNumber="1" minValue="419.55" maxValue="243903.9"/>
    </cacheField>
    <cacheField name="Cost Price (INR)" numFmtId="0">
      <sharedItems containsSemiMixedTypes="0" containsString="0" containsNumber="1" minValue="288.86" maxValue="195005.89"/>
    </cacheField>
    <cacheField name="Profit (INR)" numFmtId="0">
      <sharedItems containsSemiMixedTypes="0" containsString="0" containsNumber="1" minValue="78.8" maxValue="82946.350000000006"/>
    </cacheField>
    <cacheField name="Payment Method" numFmtId="0">
      <sharedItems count="6">
        <s v="Debit Card"/>
        <s v="UPI"/>
        <s v="Wallet"/>
        <s v="COD"/>
        <s v="Credit Card"/>
        <s v="Net Banking"/>
      </sharedItems>
    </cacheField>
    <cacheField name="Customer Rating" numFmtId="0">
      <sharedItems containsSemiMixedTypes="0" containsString="0" containsNumber="1" minValue="1" maxValue="5" count="41">
        <n v="3.5"/>
        <n v="3.9"/>
        <n v="4.4000000000000004"/>
        <n v="3.2"/>
        <n v="3.1"/>
        <n v="1.7"/>
        <n v="2"/>
        <n v="2.4"/>
        <n v="2.6"/>
        <n v="4"/>
        <n v="2.2999999999999998"/>
        <n v="1.3"/>
        <n v="1.2"/>
        <n v="3.7"/>
        <n v="1.6"/>
        <n v="2.5"/>
        <n v="4.5"/>
        <n v="4.3"/>
        <n v="2.8"/>
        <n v="1.1000000000000001"/>
        <n v="3.4"/>
        <n v="2.2000000000000002"/>
        <n v="3.6"/>
        <n v="1.4"/>
        <n v="4.2"/>
        <n v="4.7"/>
        <n v="3.3"/>
        <n v="4.0999999999999996"/>
        <n v="3.8"/>
        <n v="2.7"/>
        <n v="1.9"/>
        <n v="1.8"/>
        <n v="3"/>
        <n v="4.5999999999999996"/>
        <n v="1"/>
        <n v="4.9000000000000004"/>
        <n v="2.9"/>
        <n v="2.1"/>
        <n v="4.8"/>
        <n v="1.5"/>
        <n v="5"/>
      </sharedItems>
    </cacheField>
    <cacheField name="Delivery Status" numFmtId="0">
      <sharedItems count="3">
        <s v="Delivered"/>
        <s v="Cancelled"/>
        <s v="Returned"/>
      </sharedItems>
    </cacheField>
    <cacheField name="Month" numFmtId="0">
      <sharedItems count="12">
        <s v="September"/>
        <s v="December"/>
        <s v="May"/>
        <s v="November"/>
        <s v="October"/>
        <s v="July"/>
        <s v="January"/>
        <s v="March"/>
        <s v="February"/>
        <s v="April"/>
        <s v="June"/>
        <s v="August"/>
      </sharedItems>
    </cacheField>
    <cacheField name="Year" numFmtId="0">
      <sharedItems containsSemiMixedTypes="0" containsString="0" containsNumber="1" containsInteger="1" minValue="2024" maxValue="2025" count="2">
        <n v="2024"/>
        <n v="2025"/>
      </sharedItems>
    </cacheField>
  </cacheFields>
  <extLst>
    <ext xmlns:x14="http://schemas.microsoft.com/office/spreadsheetml/2009/9/main" uri="{725AE2AE-9491-48be-B2B4-4EB974FC3084}">
      <x14:pivotCacheDefinition pivotCacheId="18103428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s v="2024-09-12"/>
    <s v="Rahul Sharma"/>
    <x v="0"/>
    <s v="New Delhi"/>
    <x v="0"/>
    <s v="Educational"/>
    <x v="0"/>
    <x v="0"/>
    <n v="2"/>
    <n v="49069.56"/>
    <n v="15"/>
    <n v="98139.12"/>
    <n v="76109.429999999993"/>
    <n v="22029.69"/>
    <x v="0"/>
    <x v="0"/>
    <x v="0"/>
    <x v="0"/>
    <x v="0"/>
  </r>
  <r>
    <s v="ORD00002"/>
    <s v="2024-12-18"/>
    <s v="Anjali Gupta"/>
    <x v="1"/>
    <s v="Kolkata"/>
    <x v="1"/>
    <s v="General"/>
    <x v="1"/>
    <x v="1"/>
    <n v="4"/>
    <n v="12755.85"/>
    <n v="5"/>
    <n v="51023.4"/>
    <n v="38280.589999999997"/>
    <n v="12742.81"/>
    <x v="1"/>
    <x v="1"/>
    <x v="0"/>
    <x v="1"/>
    <x v="0"/>
  </r>
  <r>
    <s v="ORD00003"/>
    <s v="2024-05-18"/>
    <s v="Rahul Sharma"/>
    <x v="0"/>
    <s v="New Delhi"/>
    <x v="2"/>
    <s v="Skincare"/>
    <x v="2"/>
    <x v="2"/>
    <n v="4"/>
    <n v="11092.19"/>
    <n v="5"/>
    <n v="44368.76"/>
    <n v="32920.22"/>
    <n v="11448.54"/>
    <x v="0"/>
    <x v="2"/>
    <x v="0"/>
    <x v="2"/>
    <x v="0"/>
  </r>
  <r>
    <s v="ORD00004"/>
    <s v="2024-11-08"/>
    <s v="Anjali Gupta"/>
    <x v="2"/>
    <s v="Ahmedabad"/>
    <x v="3"/>
    <s v="Laptops"/>
    <x v="3"/>
    <x v="3"/>
    <n v="1"/>
    <n v="32657.81"/>
    <n v="25"/>
    <n v="32657.81"/>
    <n v="27341.64"/>
    <n v="5316.17"/>
    <x v="0"/>
    <x v="3"/>
    <x v="0"/>
    <x v="3"/>
    <x v="0"/>
  </r>
  <r>
    <s v="ORD00005"/>
    <s v="2024-12-27"/>
    <s v="Priya Patel"/>
    <x v="1"/>
    <s v="Kolkata"/>
    <x v="4"/>
    <s v="Cookware"/>
    <x v="4"/>
    <x v="4"/>
    <n v="3"/>
    <n v="26590.080000000002"/>
    <n v="10"/>
    <n v="79770.240000000005"/>
    <n v="52735.199999999997"/>
    <n v="27035.040000000001"/>
    <x v="1"/>
    <x v="4"/>
    <x v="1"/>
    <x v="1"/>
    <x v="0"/>
  </r>
  <r>
    <s v="ORD00006"/>
    <s v="2024-10-22"/>
    <s v="Priya Patel"/>
    <x v="3"/>
    <s v="Mysuru"/>
    <x v="4"/>
    <s v="Storage"/>
    <x v="5"/>
    <x v="4"/>
    <n v="2"/>
    <n v="10475.030000000001"/>
    <n v="15"/>
    <n v="20950.060000000001"/>
    <n v="16532.169999999998"/>
    <n v="4417.8900000000003"/>
    <x v="2"/>
    <x v="5"/>
    <x v="0"/>
    <x v="4"/>
    <x v="0"/>
  </r>
  <r>
    <s v="ORD00007"/>
    <s v="2024-07-04"/>
    <s v="Priya Patel"/>
    <x v="0"/>
    <s v="New Delhi"/>
    <x v="1"/>
    <s v="General"/>
    <x v="6"/>
    <x v="1"/>
    <n v="3"/>
    <n v="38647.72"/>
    <n v="10"/>
    <n v="115943.16"/>
    <n v="87482.19"/>
    <n v="28460.97"/>
    <x v="2"/>
    <x v="6"/>
    <x v="0"/>
    <x v="5"/>
    <x v="0"/>
  </r>
  <r>
    <s v="ORD00008"/>
    <s v="2024-12-27"/>
    <s v="Pooja Nair"/>
    <x v="4"/>
    <s v="Nagpur"/>
    <x v="4"/>
    <s v="Cookware"/>
    <x v="7"/>
    <x v="4"/>
    <n v="3"/>
    <n v="24818.59"/>
    <n v="20"/>
    <n v="74455.77"/>
    <n v="55213.31"/>
    <n v="19242.46"/>
    <x v="0"/>
    <x v="7"/>
    <x v="0"/>
    <x v="1"/>
    <x v="0"/>
  </r>
  <r>
    <s v="ORD00009"/>
    <s v="2025-01-18"/>
    <s v="Anjali Gupta"/>
    <x v="0"/>
    <s v="New Delhi"/>
    <x v="1"/>
    <s v="General"/>
    <x v="8"/>
    <x v="1"/>
    <n v="2"/>
    <n v="1987.39"/>
    <n v="30"/>
    <n v="3974.78"/>
    <n v="2915.6"/>
    <n v="1059.18"/>
    <x v="0"/>
    <x v="8"/>
    <x v="0"/>
    <x v="6"/>
    <x v="1"/>
  </r>
  <r>
    <s v="ORD00010"/>
    <s v="2024-03-14"/>
    <s v="Sneha Iyer"/>
    <x v="3"/>
    <s v="Mysuru"/>
    <x v="3"/>
    <s v="Headphones"/>
    <x v="9"/>
    <x v="5"/>
    <n v="2"/>
    <n v="26876.51"/>
    <n v="5"/>
    <n v="53753.02"/>
    <n v="37397.99"/>
    <n v="16355.03"/>
    <x v="0"/>
    <x v="9"/>
    <x v="0"/>
    <x v="7"/>
    <x v="0"/>
  </r>
  <r>
    <s v="ORD00011"/>
    <s v="2025-02-08"/>
    <s v="Neha Singh"/>
    <x v="5"/>
    <s v="Hyderabad"/>
    <x v="2"/>
    <s v="Skincare"/>
    <x v="10"/>
    <x v="6"/>
    <n v="5"/>
    <n v="46409.57"/>
    <n v="15"/>
    <n v="232047.85"/>
    <n v="185694.16"/>
    <n v="46353.69"/>
    <x v="1"/>
    <x v="10"/>
    <x v="0"/>
    <x v="8"/>
    <x v="1"/>
  </r>
  <r>
    <s v="ORD00012"/>
    <s v="2024-04-13"/>
    <s v="Neha Singh"/>
    <x v="0"/>
    <s v="New Delhi"/>
    <x v="2"/>
    <s v="Makeup"/>
    <x v="11"/>
    <x v="2"/>
    <n v="5"/>
    <n v="48780.78"/>
    <n v="25"/>
    <n v="243903.9"/>
    <n v="180136.89"/>
    <n v="63767.01"/>
    <x v="1"/>
    <x v="11"/>
    <x v="0"/>
    <x v="9"/>
    <x v="0"/>
  </r>
  <r>
    <s v="ORD00013"/>
    <s v="2024-02-23"/>
    <s v="Pooja Nair"/>
    <x v="2"/>
    <s v="Surat"/>
    <x v="0"/>
    <s v="Fiction"/>
    <x v="0"/>
    <x v="7"/>
    <n v="5"/>
    <n v="6670.82"/>
    <n v="20"/>
    <n v="33354.1"/>
    <n v="25692.82"/>
    <n v="7661.28"/>
    <x v="3"/>
    <x v="12"/>
    <x v="0"/>
    <x v="8"/>
    <x v="0"/>
  </r>
  <r>
    <s v="ORD00014"/>
    <s v="2024-06-02"/>
    <s v="Amit Kumar"/>
    <x v="5"/>
    <s v="Hyderabad"/>
    <x v="3"/>
    <s v="Headphones"/>
    <x v="12"/>
    <x v="8"/>
    <n v="1"/>
    <n v="10826.05"/>
    <n v="20"/>
    <n v="10826.05"/>
    <n v="7529.1"/>
    <n v="3296.95"/>
    <x v="2"/>
    <x v="13"/>
    <x v="0"/>
    <x v="10"/>
    <x v="0"/>
  </r>
  <r>
    <s v="ORD00015"/>
    <s v="2024-09-12"/>
    <s v="Priya Patel"/>
    <x v="5"/>
    <s v="Hyderabad"/>
    <x v="0"/>
    <s v="Educational"/>
    <x v="13"/>
    <x v="7"/>
    <n v="1"/>
    <n v="6839.1"/>
    <n v="15"/>
    <n v="6839.1"/>
    <n v="4778.3900000000003"/>
    <n v="2060.71"/>
    <x v="4"/>
    <x v="14"/>
    <x v="0"/>
    <x v="0"/>
    <x v="0"/>
  </r>
  <r>
    <s v="ORD00016"/>
    <s v="2024-03-30"/>
    <s v="Amit Kumar"/>
    <x v="6"/>
    <s v="Lucknow"/>
    <x v="4"/>
    <s v="Cookware"/>
    <x v="5"/>
    <x v="4"/>
    <n v="5"/>
    <n v="18197.89"/>
    <n v="30"/>
    <n v="90989.45"/>
    <n v="67607.7"/>
    <n v="23381.75"/>
    <x v="0"/>
    <x v="14"/>
    <x v="0"/>
    <x v="7"/>
    <x v="0"/>
  </r>
  <r>
    <s v="ORD00017"/>
    <s v="2024-03-30"/>
    <s v="Rahul Sharma"/>
    <x v="4"/>
    <s v="Mumbai"/>
    <x v="0"/>
    <s v="Fiction"/>
    <x v="14"/>
    <x v="7"/>
    <n v="2"/>
    <n v="20817.46"/>
    <n v="5"/>
    <n v="41634.92"/>
    <n v="28615.49"/>
    <n v="13019.43"/>
    <x v="0"/>
    <x v="10"/>
    <x v="0"/>
    <x v="7"/>
    <x v="0"/>
  </r>
  <r>
    <s v="ORD00018"/>
    <s v="2024-04-22"/>
    <s v="Neha Singh"/>
    <x v="7"/>
    <s v="Chennai"/>
    <x v="2"/>
    <s v="Skincare"/>
    <x v="10"/>
    <x v="6"/>
    <n v="4"/>
    <n v="44061.25"/>
    <n v="10"/>
    <n v="176245"/>
    <n v="119585.24"/>
    <n v="56659.76"/>
    <x v="3"/>
    <x v="15"/>
    <x v="0"/>
    <x v="9"/>
    <x v="0"/>
  </r>
  <r>
    <s v="ORD00019"/>
    <s v="2024-03-22"/>
    <s v="Rohit Verma"/>
    <x v="4"/>
    <s v="Nagpur"/>
    <x v="0"/>
    <s v="Educational"/>
    <x v="14"/>
    <x v="7"/>
    <n v="5"/>
    <n v="4398.59"/>
    <n v="20"/>
    <n v="21992.95"/>
    <n v="18337.53"/>
    <n v="3655.42"/>
    <x v="2"/>
    <x v="9"/>
    <x v="0"/>
    <x v="7"/>
    <x v="0"/>
  </r>
  <r>
    <s v="ORD00020"/>
    <s v="2025-01-06"/>
    <s v="Pooja Nair"/>
    <x v="6"/>
    <s v="Noida"/>
    <x v="1"/>
    <s v="General"/>
    <x v="15"/>
    <x v="1"/>
    <n v="5"/>
    <n v="32565.77"/>
    <n v="15"/>
    <n v="162828.85"/>
    <n v="137512.46"/>
    <n v="25316.39"/>
    <x v="3"/>
    <x v="2"/>
    <x v="0"/>
    <x v="6"/>
    <x v="1"/>
  </r>
  <r>
    <s v="ORD00021"/>
    <s v="2024-07-09"/>
    <s v="Rahul Sharma"/>
    <x v="6"/>
    <s v="Lucknow"/>
    <x v="4"/>
    <s v="Storage"/>
    <x v="4"/>
    <x v="9"/>
    <n v="1"/>
    <n v="47529.36"/>
    <n v="5"/>
    <n v="47529.36"/>
    <n v="33259.57"/>
    <n v="14269.79"/>
    <x v="5"/>
    <x v="16"/>
    <x v="0"/>
    <x v="5"/>
    <x v="0"/>
  </r>
  <r>
    <s v="ORD00022"/>
    <s v="2025-01-22"/>
    <s v="Rahul Sharma"/>
    <x v="3"/>
    <s v="Mysuru"/>
    <x v="1"/>
    <s v="General"/>
    <x v="1"/>
    <x v="1"/>
    <n v="3"/>
    <n v="37129.730000000003"/>
    <n v="30"/>
    <n v="111389.19"/>
    <n v="93783.59"/>
    <n v="17605.599999999999"/>
    <x v="2"/>
    <x v="17"/>
    <x v="0"/>
    <x v="6"/>
    <x v="1"/>
  </r>
  <r>
    <s v="ORD00023"/>
    <s v="2024-06-23"/>
    <s v="Anjali Gupta"/>
    <x v="4"/>
    <s v="Pune"/>
    <x v="0"/>
    <s v="Fiction"/>
    <x v="0"/>
    <x v="0"/>
    <n v="4"/>
    <n v="48258.19"/>
    <n v="10"/>
    <n v="193032.76"/>
    <n v="135823.14000000001"/>
    <n v="57209.62"/>
    <x v="1"/>
    <x v="14"/>
    <x v="0"/>
    <x v="10"/>
    <x v="0"/>
  </r>
  <r>
    <s v="ORD00024"/>
    <s v="2024-03-19"/>
    <s v="Priya Patel"/>
    <x v="6"/>
    <s v="Noida"/>
    <x v="4"/>
    <s v="Cookware"/>
    <x v="16"/>
    <x v="4"/>
    <n v="1"/>
    <n v="32505.96"/>
    <n v="15"/>
    <n v="32505.96"/>
    <n v="22763.48"/>
    <n v="9742.48"/>
    <x v="2"/>
    <x v="18"/>
    <x v="0"/>
    <x v="7"/>
    <x v="0"/>
  </r>
  <r>
    <s v="ORD00025"/>
    <s v="2024-11-24"/>
    <s v="Rahul Sharma"/>
    <x v="3"/>
    <s v="Bengaluru"/>
    <x v="4"/>
    <s v="Storage"/>
    <x v="4"/>
    <x v="4"/>
    <n v="2"/>
    <n v="4165.6400000000003"/>
    <n v="30"/>
    <n v="8331.2800000000007"/>
    <n v="6331.13"/>
    <n v="2000.15"/>
    <x v="3"/>
    <x v="19"/>
    <x v="0"/>
    <x v="3"/>
    <x v="0"/>
  </r>
  <r>
    <s v="ORD00026"/>
    <s v="2024-07-23"/>
    <s v="Sneha Iyer"/>
    <x v="7"/>
    <s v="Coimbatore"/>
    <x v="1"/>
    <s v="General"/>
    <x v="15"/>
    <x v="1"/>
    <n v="4"/>
    <n v="2053.11"/>
    <n v="5"/>
    <n v="8212.44"/>
    <n v="6132.68"/>
    <n v="2079.7600000000002"/>
    <x v="3"/>
    <x v="20"/>
    <x v="2"/>
    <x v="5"/>
    <x v="0"/>
  </r>
  <r>
    <s v="ORD00027"/>
    <s v="2024-08-24"/>
    <s v="Sneha Iyer"/>
    <x v="1"/>
    <s v="Kolkata"/>
    <x v="1"/>
    <s v="General"/>
    <x v="1"/>
    <x v="1"/>
    <n v="4"/>
    <n v="38927.620000000003"/>
    <n v="15"/>
    <n v="155710.48000000001"/>
    <n v="120299.62"/>
    <n v="35410.86"/>
    <x v="2"/>
    <x v="15"/>
    <x v="0"/>
    <x v="11"/>
    <x v="0"/>
  </r>
  <r>
    <s v="ORD00028"/>
    <s v="2024-07-21"/>
    <s v="Rahul Sharma"/>
    <x v="0"/>
    <s v="New Delhi"/>
    <x v="4"/>
    <s v="Cookware"/>
    <x v="5"/>
    <x v="10"/>
    <n v="4"/>
    <n v="28978.47"/>
    <n v="10"/>
    <n v="115913.88"/>
    <n v="96674.53"/>
    <n v="19239.349999999999"/>
    <x v="1"/>
    <x v="10"/>
    <x v="0"/>
    <x v="5"/>
    <x v="0"/>
  </r>
  <r>
    <s v="ORD00029"/>
    <s v="2024-04-16"/>
    <s v="Arjun Mehta"/>
    <x v="0"/>
    <s v="New Delhi"/>
    <x v="2"/>
    <s v="Skincare"/>
    <x v="11"/>
    <x v="11"/>
    <n v="5"/>
    <n v="21293.42"/>
    <n v="5"/>
    <n v="106467.1"/>
    <n v="83253.08"/>
    <n v="23214.02"/>
    <x v="2"/>
    <x v="21"/>
    <x v="0"/>
    <x v="9"/>
    <x v="0"/>
  </r>
  <r>
    <s v="ORD00030"/>
    <s v="2024-08-05"/>
    <s v="Arjun Mehta"/>
    <x v="3"/>
    <s v="Mysuru"/>
    <x v="2"/>
    <s v="Makeup"/>
    <x v="11"/>
    <x v="2"/>
    <n v="4"/>
    <n v="49097.01"/>
    <n v="5"/>
    <n v="196388.04"/>
    <n v="133386.78"/>
    <n v="63001.26"/>
    <x v="4"/>
    <x v="13"/>
    <x v="0"/>
    <x v="11"/>
    <x v="0"/>
  </r>
  <r>
    <s v="ORD00031"/>
    <s v="2024-04-14"/>
    <s v="Sneha Iyer"/>
    <x v="6"/>
    <s v="Noida"/>
    <x v="2"/>
    <s v="Skincare"/>
    <x v="10"/>
    <x v="6"/>
    <n v="1"/>
    <n v="47651.19"/>
    <n v="5"/>
    <n v="47651.19"/>
    <n v="38851.519999999997"/>
    <n v="8799.67"/>
    <x v="5"/>
    <x v="22"/>
    <x v="0"/>
    <x v="9"/>
    <x v="0"/>
  </r>
  <r>
    <s v="ORD00032"/>
    <s v="2024-10-17"/>
    <s v="Pooja Nair"/>
    <x v="1"/>
    <s v="Kolkata"/>
    <x v="2"/>
    <s v="Makeup"/>
    <x v="17"/>
    <x v="6"/>
    <n v="5"/>
    <n v="15046.01"/>
    <n v="5"/>
    <n v="75230.05"/>
    <n v="62373.17"/>
    <n v="12856.88"/>
    <x v="3"/>
    <x v="19"/>
    <x v="2"/>
    <x v="4"/>
    <x v="0"/>
  </r>
  <r>
    <s v="ORD00033"/>
    <s v="2024-10-01"/>
    <s v="Anjali Gupta"/>
    <x v="0"/>
    <s v="New Delhi"/>
    <x v="3"/>
    <s v="Laptops"/>
    <x v="18"/>
    <x v="12"/>
    <n v="3"/>
    <n v="36980.1"/>
    <n v="15"/>
    <n v="110940.3"/>
    <n v="82458.78"/>
    <n v="28481.52"/>
    <x v="3"/>
    <x v="3"/>
    <x v="0"/>
    <x v="4"/>
    <x v="0"/>
  </r>
  <r>
    <s v="ORD00034"/>
    <s v="2024-07-15"/>
    <s v="Rahul Sharma"/>
    <x v="0"/>
    <s v="New Delhi"/>
    <x v="4"/>
    <s v="Cookware"/>
    <x v="7"/>
    <x v="4"/>
    <n v="2"/>
    <n v="38144.67"/>
    <n v="15"/>
    <n v="76289.34"/>
    <n v="56892.78"/>
    <n v="19396.560000000001"/>
    <x v="5"/>
    <x v="4"/>
    <x v="0"/>
    <x v="5"/>
    <x v="0"/>
  </r>
  <r>
    <s v="ORD00035"/>
    <s v="2024-05-01"/>
    <s v="Priya Patel"/>
    <x v="1"/>
    <s v="Kolkata"/>
    <x v="3"/>
    <s v="Laptops"/>
    <x v="18"/>
    <x v="13"/>
    <n v="2"/>
    <n v="49355.45"/>
    <n v="20"/>
    <n v="98710.9"/>
    <n v="71668.850000000006"/>
    <n v="27042.05"/>
    <x v="3"/>
    <x v="0"/>
    <x v="0"/>
    <x v="2"/>
    <x v="0"/>
  </r>
  <r>
    <s v="ORD00036"/>
    <s v="2024-06-10"/>
    <s v="Rahul Sharma"/>
    <x v="6"/>
    <s v="Noida"/>
    <x v="2"/>
    <s v="Skincare"/>
    <x v="19"/>
    <x v="6"/>
    <n v="3"/>
    <n v="12945.96"/>
    <n v="30"/>
    <n v="38837.879999999997"/>
    <n v="31096.49"/>
    <n v="7741.39"/>
    <x v="2"/>
    <x v="23"/>
    <x v="0"/>
    <x v="10"/>
    <x v="0"/>
  </r>
  <r>
    <s v="ORD00037"/>
    <s v="2024-06-27"/>
    <s v="Neha Singh"/>
    <x v="2"/>
    <s v="Ahmedabad"/>
    <x v="2"/>
    <s v="Skincare"/>
    <x v="10"/>
    <x v="11"/>
    <n v="4"/>
    <n v="34927.79"/>
    <n v="10"/>
    <n v="139711.16"/>
    <n v="94862.62"/>
    <n v="44848.54"/>
    <x v="4"/>
    <x v="19"/>
    <x v="0"/>
    <x v="10"/>
    <x v="0"/>
  </r>
  <r>
    <s v="ORD00038"/>
    <s v="2024-07-31"/>
    <s v="Rohit Verma"/>
    <x v="6"/>
    <s v="Noida"/>
    <x v="4"/>
    <s v="Cookware"/>
    <x v="7"/>
    <x v="9"/>
    <n v="3"/>
    <n v="3677.4"/>
    <n v="30"/>
    <n v="11032.2"/>
    <n v="9355.66"/>
    <n v="1676.54"/>
    <x v="1"/>
    <x v="13"/>
    <x v="0"/>
    <x v="5"/>
    <x v="0"/>
  </r>
  <r>
    <s v="ORD00039"/>
    <s v="2024-10-26"/>
    <s v="Amit Kumar"/>
    <x v="0"/>
    <s v="New Delhi"/>
    <x v="0"/>
    <s v="Educational"/>
    <x v="13"/>
    <x v="0"/>
    <n v="4"/>
    <n v="37004.54"/>
    <n v="30"/>
    <n v="148018.16"/>
    <n v="107869.83"/>
    <n v="40148.33"/>
    <x v="0"/>
    <x v="9"/>
    <x v="0"/>
    <x v="4"/>
    <x v="0"/>
  </r>
  <r>
    <s v="ORD00040"/>
    <s v="2024-02-23"/>
    <s v="Anjali Gupta"/>
    <x v="4"/>
    <s v="Mumbai"/>
    <x v="0"/>
    <s v="Educational"/>
    <x v="14"/>
    <x v="7"/>
    <n v="5"/>
    <n v="27961.78"/>
    <n v="20"/>
    <n v="139808.9"/>
    <n v="109930.42"/>
    <n v="29878.48"/>
    <x v="5"/>
    <x v="9"/>
    <x v="0"/>
    <x v="8"/>
    <x v="0"/>
  </r>
  <r>
    <s v="ORD00041"/>
    <s v="2024-02-12"/>
    <s v="Anjali Gupta"/>
    <x v="3"/>
    <s v="Bengaluru"/>
    <x v="0"/>
    <s v="Educational"/>
    <x v="13"/>
    <x v="7"/>
    <n v="2"/>
    <n v="2655.8"/>
    <n v="25"/>
    <n v="5311.6"/>
    <n v="3865.75"/>
    <n v="1445.85"/>
    <x v="5"/>
    <x v="13"/>
    <x v="0"/>
    <x v="8"/>
    <x v="0"/>
  </r>
  <r>
    <s v="ORD00042"/>
    <s v="2024-06-06"/>
    <s v="Karan Shah"/>
    <x v="5"/>
    <s v="Hyderabad"/>
    <x v="3"/>
    <s v="Smartwatches"/>
    <x v="20"/>
    <x v="3"/>
    <n v="4"/>
    <n v="965.51"/>
    <n v="5"/>
    <n v="3862.04"/>
    <n v="2992.76"/>
    <n v="869.28"/>
    <x v="3"/>
    <x v="0"/>
    <x v="2"/>
    <x v="10"/>
    <x v="0"/>
  </r>
  <r>
    <s v="ORD00043"/>
    <s v="2024-12-14"/>
    <s v="Rahul Sharma"/>
    <x v="4"/>
    <s v="Mumbai"/>
    <x v="4"/>
    <s v="Cookware"/>
    <x v="16"/>
    <x v="10"/>
    <n v="3"/>
    <n v="2980.08"/>
    <n v="10"/>
    <n v="8940.24"/>
    <n v="7222.73"/>
    <n v="1717.51"/>
    <x v="5"/>
    <x v="24"/>
    <x v="0"/>
    <x v="1"/>
    <x v="0"/>
  </r>
  <r>
    <s v="ORD00044"/>
    <s v="2024-10-09"/>
    <s v="Sneha Iyer"/>
    <x v="7"/>
    <s v="Chennai"/>
    <x v="4"/>
    <s v="Storage"/>
    <x v="5"/>
    <x v="9"/>
    <n v="1"/>
    <n v="8598.58"/>
    <n v="30"/>
    <n v="8598.58"/>
    <n v="5754.28"/>
    <n v="2844.3"/>
    <x v="0"/>
    <x v="19"/>
    <x v="2"/>
    <x v="4"/>
    <x v="0"/>
  </r>
  <r>
    <s v="ORD00045"/>
    <s v="2024-04-14"/>
    <s v="Amit Kumar"/>
    <x v="6"/>
    <s v="Noida"/>
    <x v="2"/>
    <s v="Makeup"/>
    <x v="19"/>
    <x v="2"/>
    <n v="2"/>
    <n v="31850.15"/>
    <n v="20"/>
    <n v="63700.3"/>
    <n v="51532.47"/>
    <n v="12167.83"/>
    <x v="5"/>
    <x v="18"/>
    <x v="1"/>
    <x v="9"/>
    <x v="0"/>
  </r>
  <r>
    <s v="ORD00046"/>
    <s v="2024-02-15"/>
    <s v="Rahul Sharma"/>
    <x v="6"/>
    <s v="Lucknow"/>
    <x v="3"/>
    <s v="Smartwatches"/>
    <x v="3"/>
    <x v="13"/>
    <n v="5"/>
    <n v="33443.32"/>
    <n v="30"/>
    <n v="167216.6"/>
    <n v="136660.12"/>
    <n v="30556.48"/>
    <x v="1"/>
    <x v="7"/>
    <x v="0"/>
    <x v="8"/>
    <x v="0"/>
  </r>
  <r>
    <s v="ORD00047"/>
    <s v="2024-07-25"/>
    <s v="Pooja Nair"/>
    <x v="5"/>
    <s v="Hyderabad"/>
    <x v="1"/>
    <s v="General"/>
    <x v="8"/>
    <x v="1"/>
    <n v="5"/>
    <n v="29592.5"/>
    <n v="10"/>
    <n v="147962.5"/>
    <n v="118254.28"/>
    <n v="29708.22"/>
    <x v="5"/>
    <x v="25"/>
    <x v="0"/>
    <x v="5"/>
    <x v="0"/>
  </r>
  <r>
    <s v="ORD00048"/>
    <s v="2024-06-22"/>
    <s v="Amit Kumar"/>
    <x v="4"/>
    <s v="Pune"/>
    <x v="2"/>
    <s v="Skincare"/>
    <x v="17"/>
    <x v="11"/>
    <n v="4"/>
    <n v="11187.38"/>
    <n v="20"/>
    <n v="44749.52"/>
    <n v="30590.07"/>
    <n v="14159.45"/>
    <x v="2"/>
    <x v="10"/>
    <x v="2"/>
    <x v="10"/>
    <x v="0"/>
  </r>
  <r>
    <s v="ORD00049"/>
    <s v="2024-11-28"/>
    <s v="Neha Singh"/>
    <x v="2"/>
    <s v="Surat"/>
    <x v="4"/>
    <s v="Cookware"/>
    <x v="16"/>
    <x v="4"/>
    <n v="5"/>
    <n v="23898.58"/>
    <n v="10"/>
    <n v="119492.9"/>
    <n v="89753.91"/>
    <n v="29738.99"/>
    <x v="4"/>
    <x v="26"/>
    <x v="0"/>
    <x v="3"/>
    <x v="0"/>
  </r>
  <r>
    <s v="ORD00050"/>
    <s v="2024-08-11"/>
    <s v="Arjun Mehta"/>
    <x v="7"/>
    <s v="Chennai"/>
    <x v="0"/>
    <s v="Fiction"/>
    <x v="13"/>
    <x v="0"/>
    <n v="4"/>
    <n v="1391.49"/>
    <n v="10"/>
    <n v="5565.96"/>
    <n v="3899.64"/>
    <n v="1666.32"/>
    <x v="4"/>
    <x v="16"/>
    <x v="0"/>
    <x v="11"/>
    <x v="0"/>
  </r>
  <r>
    <s v="ORD00051"/>
    <s v="2024-09-10"/>
    <s v="Anjali Gupta"/>
    <x v="0"/>
    <s v="New Delhi"/>
    <x v="1"/>
    <s v="General"/>
    <x v="1"/>
    <x v="1"/>
    <n v="5"/>
    <n v="18607.689999999999"/>
    <n v="25"/>
    <n v="93038.45"/>
    <n v="76104.789999999994"/>
    <n v="16933.66"/>
    <x v="3"/>
    <x v="7"/>
    <x v="0"/>
    <x v="0"/>
    <x v="0"/>
  </r>
  <r>
    <s v="ORD00052"/>
    <s v="2024-10-30"/>
    <s v="Priya Patel"/>
    <x v="2"/>
    <s v="Surat"/>
    <x v="0"/>
    <s v="Educational"/>
    <x v="21"/>
    <x v="7"/>
    <n v="3"/>
    <n v="46224.88"/>
    <n v="30"/>
    <n v="138674.64000000001"/>
    <n v="93576.639999999999"/>
    <n v="45098"/>
    <x v="4"/>
    <x v="27"/>
    <x v="0"/>
    <x v="4"/>
    <x v="0"/>
  </r>
  <r>
    <s v="ORD00053"/>
    <s v="2024-11-11"/>
    <s v="Rohit Verma"/>
    <x v="6"/>
    <s v="Noida"/>
    <x v="3"/>
    <s v="Smartwatches"/>
    <x v="9"/>
    <x v="12"/>
    <n v="5"/>
    <n v="11864.13"/>
    <n v="25"/>
    <n v="59320.65"/>
    <n v="48132.15"/>
    <n v="11188.5"/>
    <x v="0"/>
    <x v="11"/>
    <x v="0"/>
    <x v="3"/>
    <x v="0"/>
  </r>
  <r>
    <s v="ORD00054"/>
    <s v="2024-11-22"/>
    <s v="Pooja Nair"/>
    <x v="5"/>
    <s v="Hyderabad"/>
    <x v="0"/>
    <s v="Educational"/>
    <x v="13"/>
    <x v="0"/>
    <n v="5"/>
    <n v="7757.2"/>
    <n v="10"/>
    <n v="38786"/>
    <n v="32178.76"/>
    <n v="6607.24"/>
    <x v="2"/>
    <x v="21"/>
    <x v="0"/>
    <x v="3"/>
    <x v="0"/>
  </r>
  <r>
    <s v="ORD00055"/>
    <s v="2024-10-04"/>
    <s v="Neha Singh"/>
    <x v="3"/>
    <s v="Mysuru"/>
    <x v="3"/>
    <s v="Smartphones"/>
    <x v="3"/>
    <x v="12"/>
    <n v="1"/>
    <n v="29745"/>
    <n v="10"/>
    <n v="29745"/>
    <n v="24194.799999999999"/>
    <n v="5550.2"/>
    <x v="1"/>
    <x v="22"/>
    <x v="0"/>
    <x v="4"/>
    <x v="0"/>
  </r>
  <r>
    <s v="ORD00056"/>
    <s v="2024-04-04"/>
    <s v="Amit Kumar"/>
    <x v="7"/>
    <s v="Coimbatore"/>
    <x v="1"/>
    <s v="General"/>
    <x v="1"/>
    <x v="1"/>
    <n v="5"/>
    <n v="39176.54"/>
    <n v="15"/>
    <n v="195882.7"/>
    <n v="145860.42000000001"/>
    <n v="50022.28"/>
    <x v="5"/>
    <x v="27"/>
    <x v="0"/>
    <x v="9"/>
    <x v="0"/>
  </r>
  <r>
    <s v="ORD00057"/>
    <s v="2024-09-03"/>
    <s v="Amit Kumar"/>
    <x v="7"/>
    <s v="Chennai"/>
    <x v="1"/>
    <s v="General"/>
    <x v="1"/>
    <x v="1"/>
    <n v="5"/>
    <n v="18075.189999999999"/>
    <n v="20"/>
    <n v="90375.95"/>
    <n v="70919.91"/>
    <n v="19456.04"/>
    <x v="0"/>
    <x v="5"/>
    <x v="0"/>
    <x v="0"/>
    <x v="0"/>
  </r>
  <r>
    <s v="ORD00058"/>
    <s v="2024-05-16"/>
    <s v="Karan Shah"/>
    <x v="5"/>
    <s v="Hyderabad"/>
    <x v="0"/>
    <s v="Fiction"/>
    <x v="22"/>
    <x v="0"/>
    <n v="4"/>
    <n v="18830.59"/>
    <n v="30"/>
    <n v="75322.36"/>
    <n v="62095.33"/>
    <n v="13227.03"/>
    <x v="5"/>
    <x v="22"/>
    <x v="0"/>
    <x v="2"/>
    <x v="0"/>
  </r>
  <r>
    <s v="ORD00059"/>
    <s v="2024-08-30"/>
    <s v="Neha Singh"/>
    <x v="7"/>
    <s v="Chennai"/>
    <x v="3"/>
    <s v="Laptops"/>
    <x v="20"/>
    <x v="12"/>
    <n v="4"/>
    <n v="38476.480000000003"/>
    <n v="20"/>
    <n v="153905.92000000001"/>
    <n v="123193.23"/>
    <n v="30712.69"/>
    <x v="4"/>
    <x v="6"/>
    <x v="0"/>
    <x v="11"/>
    <x v="0"/>
  </r>
  <r>
    <s v="ORD00060"/>
    <s v="2024-06-13"/>
    <s v="Pooja Nair"/>
    <x v="1"/>
    <s v="Kolkata"/>
    <x v="3"/>
    <s v="Smartphones"/>
    <x v="18"/>
    <x v="3"/>
    <n v="2"/>
    <n v="27120.36"/>
    <n v="25"/>
    <n v="54240.72"/>
    <n v="45155.08"/>
    <n v="9085.64"/>
    <x v="4"/>
    <x v="28"/>
    <x v="0"/>
    <x v="10"/>
    <x v="0"/>
  </r>
  <r>
    <s v="ORD00061"/>
    <s v="2024-07-28"/>
    <s v="Arjun Mehta"/>
    <x v="0"/>
    <s v="New Delhi"/>
    <x v="0"/>
    <s v="Educational"/>
    <x v="14"/>
    <x v="0"/>
    <n v="5"/>
    <n v="31627"/>
    <n v="25"/>
    <n v="158135"/>
    <n v="115579.55"/>
    <n v="42555.45"/>
    <x v="0"/>
    <x v="4"/>
    <x v="0"/>
    <x v="5"/>
    <x v="0"/>
  </r>
  <r>
    <s v="ORD00062"/>
    <s v="2024-07-10"/>
    <s v="Rahul Sharma"/>
    <x v="0"/>
    <s v="New Delhi"/>
    <x v="0"/>
    <s v="Fiction"/>
    <x v="13"/>
    <x v="0"/>
    <n v="3"/>
    <n v="14505.79"/>
    <n v="15"/>
    <n v="43517.37"/>
    <n v="33058.21"/>
    <n v="10459.16"/>
    <x v="1"/>
    <x v="1"/>
    <x v="0"/>
    <x v="5"/>
    <x v="0"/>
  </r>
  <r>
    <s v="ORD00063"/>
    <s v="2024-07-21"/>
    <s v="Sneha Iyer"/>
    <x v="1"/>
    <s v="Kolkata"/>
    <x v="3"/>
    <s v="Headphones"/>
    <x v="3"/>
    <x v="8"/>
    <n v="3"/>
    <n v="15229.67"/>
    <n v="25"/>
    <n v="45689.01"/>
    <n v="37212.019999999997"/>
    <n v="8476.99"/>
    <x v="4"/>
    <x v="29"/>
    <x v="0"/>
    <x v="5"/>
    <x v="0"/>
  </r>
  <r>
    <s v="ORD00064"/>
    <s v="2025-01-02"/>
    <s v="Arjun Mehta"/>
    <x v="6"/>
    <s v="Lucknow"/>
    <x v="4"/>
    <s v="Storage"/>
    <x v="7"/>
    <x v="9"/>
    <n v="3"/>
    <n v="2158.12"/>
    <n v="5"/>
    <n v="6474.36"/>
    <n v="4790.63"/>
    <n v="1683.73"/>
    <x v="3"/>
    <x v="20"/>
    <x v="0"/>
    <x v="6"/>
    <x v="1"/>
  </r>
  <r>
    <s v="ORD00065"/>
    <s v="2024-12-22"/>
    <s v="Neha Singh"/>
    <x v="0"/>
    <s v="New Delhi"/>
    <x v="2"/>
    <s v="Makeup"/>
    <x v="11"/>
    <x v="11"/>
    <n v="2"/>
    <n v="11106.19"/>
    <n v="20"/>
    <n v="22212.38"/>
    <n v="15927.98"/>
    <n v="6284.4"/>
    <x v="2"/>
    <x v="19"/>
    <x v="0"/>
    <x v="1"/>
    <x v="0"/>
  </r>
  <r>
    <s v="ORD00066"/>
    <s v="2024-11-28"/>
    <s v="Neha Singh"/>
    <x v="3"/>
    <s v="Bengaluru"/>
    <x v="0"/>
    <s v="Fiction"/>
    <x v="0"/>
    <x v="7"/>
    <n v="2"/>
    <n v="21690.55"/>
    <n v="5"/>
    <n v="43381.1"/>
    <n v="36440.47"/>
    <n v="6940.63"/>
    <x v="4"/>
    <x v="30"/>
    <x v="2"/>
    <x v="3"/>
    <x v="0"/>
  </r>
  <r>
    <s v="ORD00067"/>
    <s v="2024-05-06"/>
    <s v="Anjali Gupta"/>
    <x v="4"/>
    <s v="Mumbai"/>
    <x v="2"/>
    <s v="Makeup"/>
    <x v="17"/>
    <x v="2"/>
    <n v="4"/>
    <n v="4225.6899999999996"/>
    <n v="30"/>
    <n v="16902.759999999998"/>
    <n v="11744.43"/>
    <n v="5158.33"/>
    <x v="4"/>
    <x v="15"/>
    <x v="0"/>
    <x v="2"/>
    <x v="0"/>
  </r>
  <r>
    <s v="ORD00068"/>
    <s v="2024-02-26"/>
    <s v="Arjun Mehta"/>
    <x v="7"/>
    <s v="Coimbatore"/>
    <x v="3"/>
    <s v="Headphones"/>
    <x v="3"/>
    <x v="8"/>
    <n v="1"/>
    <n v="23621.02"/>
    <n v="25"/>
    <n v="23621.02"/>
    <n v="18889.75"/>
    <n v="4731.2700000000004"/>
    <x v="2"/>
    <x v="25"/>
    <x v="0"/>
    <x v="8"/>
    <x v="0"/>
  </r>
  <r>
    <s v="ORD00069"/>
    <s v="2024-04-08"/>
    <s v="Pooja Nair"/>
    <x v="3"/>
    <s v="Mysuru"/>
    <x v="0"/>
    <s v="Fiction"/>
    <x v="0"/>
    <x v="7"/>
    <n v="3"/>
    <n v="38937.919999999998"/>
    <n v="20"/>
    <n v="116813.75999999999"/>
    <n v="93799.31"/>
    <n v="23014.45"/>
    <x v="4"/>
    <x v="20"/>
    <x v="0"/>
    <x v="9"/>
    <x v="0"/>
  </r>
  <r>
    <s v="ORD00070"/>
    <s v="2024-04-28"/>
    <s v="Priya Patel"/>
    <x v="3"/>
    <s v="Bengaluru"/>
    <x v="4"/>
    <s v="Cookware"/>
    <x v="4"/>
    <x v="9"/>
    <n v="1"/>
    <n v="2707.97"/>
    <n v="30"/>
    <n v="2707.97"/>
    <n v="1848.31"/>
    <n v="859.66"/>
    <x v="5"/>
    <x v="12"/>
    <x v="0"/>
    <x v="9"/>
    <x v="0"/>
  </r>
  <r>
    <s v="ORD00071"/>
    <s v="2024-03-24"/>
    <s v="Rohit Verma"/>
    <x v="6"/>
    <s v="Lucknow"/>
    <x v="2"/>
    <s v="Skincare"/>
    <x v="2"/>
    <x v="6"/>
    <n v="4"/>
    <n v="23715.42"/>
    <n v="10"/>
    <n v="94861.68"/>
    <n v="76429.48"/>
    <n v="18432.2"/>
    <x v="3"/>
    <x v="6"/>
    <x v="0"/>
    <x v="7"/>
    <x v="0"/>
  </r>
  <r>
    <s v="ORD00072"/>
    <s v="2024-07-05"/>
    <s v="Sneha Iyer"/>
    <x v="6"/>
    <s v="Lucknow"/>
    <x v="3"/>
    <s v="Headphones"/>
    <x v="9"/>
    <x v="3"/>
    <n v="2"/>
    <n v="9083.5"/>
    <n v="15"/>
    <n v="18167"/>
    <n v="12133.2"/>
    <n v="6033.8"/>
    <x v="1"/>
    <x v="31"/>
    <x v="0"/>
    <x v="5"/>
    <x v="0"/>
  </r>
  <r>
    <s v="ORD00073"/>
    <s v="2024-09-07"/>
    <s v="Karan Shah"/>
    <x v="1"/>
    <s v="Kolkata"/>
    <x v="2"/>
    <s v="Makeup"/>
    <x v="11"/>
    <x v="6"/>
    <n v="4"/>
    <n v="26379.35"/>
    <n v="10"/>
    <n v="105517.4"/>
    <n v="69968.740000000005"/>
    <n v="35548.660000000003"/>
    <x v="1"/>
    <x v="32"/>
    <x v="0"/>
    <x v="0"/>
    <x v="0"/>
  </r>
  <r>
    <s v="ORD00074"/>
    <s v="2024-02-13"/>
    <s v="Rohit Verma"/>
    <x v="1"/>
    <s v="Kolkata"/>
    <x v="1"/>
    <s v="General"/>
    <x v="8"/>
    <x v="1"/>
    <n v="3"/>
    <n v="34023.96"/>
    <n v="5"/>
    <n v="102071.88"/>
    <n v="72069.98"/>
    <n v="30001.9"/>
    <x v="4"/>
    <x v="33"/>
    <x v="0"/>
    <x v="8"/>
    <x v="0"/>
  </r>
  <r>
    <s v="ORD00075"/>
    <s v="2024-08-25"/>
    <s v="Arjun Mehta"/>
    <x v="4"/>
    <s v="Nagpur"/>
    <x v="1"/>
    <s v="General"/>
    <x v="6"/>
    <x v="1"/>
    <n v="4"/>
    <n v="1542.1"/>
    <n v="25"/>
    <n v="6168.4"/>
    <n v="4713.0200000000004"/>
    <n v="1455.38"/>
    <x v="4"/>
    <x v="34"/>
    <x v="0"/>
    <x v="11"/>
    <x v="0"/>
  </r>
  <r>
    <s v="ORD00076"/>
    <s v="2024-03-25"/>
    <s v="Pooja Nair"/>
    <x v="7"/>
    <s v="Coimbatore"/>
    <x v="0"/>
    <s v="Educational"/>
    <x v="21"/>
    <x v="7"/>
    <n v="3"/>
    <n v="42981.08"/>
    <n v="15"/>
    <n v="128943.24"/>
    <n v="105613.53"/>
    <n v="23329.71"/>
    <x v="3"/>
    <x v="28"/>
    <x v="0"/>
    <x v="7"/>
    <x v="0"/>
  </r>
  <r>
    <s v="ORD00077"/>
    <s v="2024-03-22"/>
    <s v="Rahul Sharma"/>
    <x v="1"/>
    <s v="Kolkata"/>
    <x v="4"/>
    <s v="Cookware"/>
    <x v="23"/>
    <x v="10"/>
    <n v="5"/>
    <n v="46338.29"/>
    <n v="25"/>
    <n v="231691.45"/>
    <n v="156602.70000000001"/>
    <n v="75088.75"/>
    <x v="3"/>
    <x v="20"/>
    <x v="0"/>
    <x v="7"/>
    <x v="0"/>
  </r>
  <r>
    <s v="ORD00078"/>
    <s v="2024-06-30"/>
    <s v="Anjali Gupta"/>
    <x v="4"/>
    <s v="Pune"/>
    <x v="3"/>
    <s v="Smartphones"/>
    <x v="20"/>
    <x v="13"/>
    <n v="1"/>
    <n v="34161.440000000002"/>
    <n v="15"/>
    <n v="34161.440000000002"/>
    <n v="23663.57"/>
    <n v="10497.87"/>
    <x v="2"/>
    <x v="7"/>
    <x v="0"/>
    <x v="10"/>
    <x v="0"/>
  </r>
  <r>
    <s v="ORD00079"/>
    <s v="2024-07-16"/>
    <s v="Pooja Nair"/>
    <x v="4"/>
    <s v="Nagpur"/>
    <x v="2"/>
    <s v="Skincare"/>
    <x v="11"/>
    <x v="11"/>
    <n v="5"/>
    <n v="21317.31"/>
    <n v="10"/>
    <n v="106586.55"/>
    <n v="87451.53"/>
    <n v="19135.02"/>
    <x v="4"/>
    <x v="9"/>
    <x v="0"/>
    <x v="5"/>
    <x v="0"/>
  </r>
  <r>
    <s v="ORD00080"/>
    <s v="2024-05-01"/>
    <s v="Rohit Verma"/>
    <x v="4"/>
    <s v="Pune"/>
    <x v="2"/>
    <s v="Skincare"/>
    <x v="2"/>
    <x v="2"/>
    <n v="4"/>
    <n v="46011.839999999997"/>
    <n v="10"/>
    <n v="184047.35999999999"/>
    <n v="155853.32"/>
    <n v="28194.04"/>
    <x v="3"/>
    <x v="26"/>
    <x v="0"/>
    <x v="2"/>
    <x v="0"/>
  </r>
  <r>
    <s v="ORD00081"/>
    <s v="2025-02-09"/>
    <s v="Rohit Verma"/>
    <x v="5"/>
    <s v="Hyderabad"/>
    <x v="2"/>
    <s v="Makeup"/>
    <x v="10"/>
    <x v="6"/>
    <n v="1"/>
    <n v="2097.9899999999998"/>
    <n v="30"/>
    <n v="2097.9899999999998"/>
    <n v="1739.43"/>
    <n v="358.56"/>
    <x v="0"/>
    <x v="3"/>
    <x v="0"/>
    <x v="8"/>
    <x v="1"/>
  </r>
  <r>
    <s v="ORD00082"/>
    <s v="2024-12-10"/>
    <s v="Pooja Nair"/>
    <x v="7"/>
    <s v="Chennai"/>
    <x v="3"/>
    <s v="Smartwatches"/>
    <x v="12"/>
    <x v="13"/>
    <n v="3"/>
    <n v="17104.91"/>
    <n v="30"/>
    <n v="51314.73"/>
    <n v="39276.01"/>
    <n v="12038.72"/>
    <x v="4"/>
    <x v="29"/>
    <x v="0"/>
    <x v="1"/>
    <x v="0"/>
  </r>
  <r>
    <s v="ORD00083"/>
    <s v="2024-11-07"/>
    <s v="Arjun Mehta"/>
    <x v="0"/>
    <s v="New Delhi"/>
    <x v="4"/>
    <s v="Storage"/>
    <x v="23"/>
    <x v="10"/>
    <n v="3"/>
    <n v="29326.6"/>
    <n v="25"/>
    <n v="87979.8"/>
    <n v="62939.56"/>
    <n v="25040.240000000002"/>
    <x v="4"/>
    <x v="35"/>
    <x v="0"/>
    <x v="3"/>
    <x v="0"/>
  </r>
  <r>
    <s v="ORD00084"/>
    <s v="2024-11-11"/>
    <s v="Rahul Sharma"/>
    <x v="0"/>
    <s v="New Delhi"/>
    <x v="3"/>
    <s v="Smartphones"/>
    <x v="20"/>
    <x v="8"/>
    <n v="4"/>
    <n v="28892.73"/>
    <n v="20"/>
    <n v="115570.92"/>
    <n v="76455.17"/>
    <n v="39115.75"/>
    <x v="3"/>
    <x v="11"/>
    <x v="0"/>
    <x v="3"/>
    <x v="0"/>
  </r>
  <r>
    <s v="ORD00085"/>
    <s v="2024-12-03"/>
    <s v="Neha Singh"/>
    <x v="5"/>
    <s v="Hyderabad"/>
    <x v="3"/>
    <s v="Smartwatches"/>
    <x v="9"/>
    <x v="5"/>
    <n v="4"/>
    <n v="35033.120000000003"/>
    <n v="20"/>
    <n v="140132.48000000001"/>
    <n v="108098.23"/>
    <n v="32034.25"/>
    <x v="1"/>
    <x v="25"/>
    <x v="1"/>
    <x v="1"/>
    <x v="0"/>
  </r>
  <r>
    <s v="ORD00086"/>
    <s v="2024-10-27"/>
    <s v="Rohit Verma"/>
    <x v="5"/>
    <s v="Hyderabad"/>
    <x v="1"/>
    <s v="General"/>
    <x v="1"/>
    <x v="1"/>
    <n v="3"/>
    <n v="40069.300000000003"/>
    <n v="10"/>
    <n v="120207.9"/>
    <n v="79545.240000000005"/>
    <n v="40662.660000000003"/>
    <x v="0"/>
    <x v="7"/>
    <x v="0"/>
    <x v="4"/>
    <x v="0"/>
  </r>
  <r>
    <s v="ORD00087"/>
    <s v="2024-05-30"/>
    <s v="Sneha Iyer"/>
    <x v="1"/>
    <s v="Kolkata"/>
    <x v="0"/>
    <s v="Fiction"/>
    <x v="13"/>
    <x v="7"/>
    <n v="4"/>
    <n v="20613.14"/>
    <n v="30"/>
    <n v="82452.56"/>
    <n v="54819.97"/>
    <n v="27632.59"/>
    <x v="1"/>
    <x v="20"/>
    <x v="0"/>
    <x v="2"/>
    <x v="0"/>
  </r>
  <r>
    <s v="ORD00088"/>
    <s v="2024-04-12"/>
    <s v="Priya Patel"/>
    <x v="0"/>
    <s v="New Delhi"/>
    <x v="4"/>
    <s v="Storage"/>
    <x v="4"/>
    <x v="9"/>
    <n v="5"/>
    <n v="3432"/>
    <n v="25"/>
    <n v="17160"/>
    <n v="14224.91"/>
    <n v="2935.09"/>
    <x v="4"/>
    <x v="20"/>
    <x v="0"/>
    <x v="9"/>
    <x v="0"/>
  </r>
  <r>
    <s v="ORD00089"/>
    <s v="2024-06-28"/>
    <s v="Amit Kumar"/>
    <x v="1"/>
    <s v="Kolkata"/>
    <x v="2"/>
    <s v="Makeup"/>
    <x v="19"/>
    <x v="2"/>
    <n v="3"/>
    <n v="25752.65"/>
    <n v="15"/>
    <n v="77257.95"/>
    <n v="50637.53"/>
    <n v="26620.42"/>
    <x v="5"/>
    <x v="15"/>
    <x v="0"/>
    <x v="10"/>
    <x v="0"/>
  </r>
  <r>
    <s v="ORD00090"/>
    <s v="2024-09-24"/>
    <s v="Rohit Verma"/>
    <x v="3"/>
    <s v="Bengaluru"/>
    <x v="3"/>
    <s v="Smartphones"/>
    <x v="3"/>
    <x v="14"/>
    <n v="2"/>
    <n v="30238.47"/>
    <n v="5"/>
    <n v="60476.94"/>
    <n v="46278.68"/>
    <n v="14198.26"/>
    <x v="5"/>
    <x v="9"/>
    <x v="0"/>
    <x v="0"/>
    <x v="0"/>
  </r>
  <r>
    <s v="ORD00091"/>
    <s v="2024-04-01"/>
    <s v="Amit Kumar"/>
    <x v="2"/>
    <s v="Surat"/>
    <x v="4"/>
    <s v="Storage"/>
    <x v="16"/>
    <x v="10"/>
    <n v="4"/>
    <n v="34293.379999999997"/>
    <n v="20"/>
    <n v="137173.51999999999"/>
    <n v="109829.11"/>
    <n v="27344.41"/>
    <x v="5"/>
    <x v="2"/>
    <x v="2"/>
    <x v="9"/>
    <x v="0"/>
  </r>
  <r>
    <s v="ORD00092"/>
    <s v="2024-11-23"/>
    <s v="Neha Singh"/>
    <x v="3"/>
    <s v="Bengaluru"/>
    <x v="2"/>
    <s v="Skincare"/>
    <x v="10"/>
    <x v="6"/>
    <n v="2"/>
    <n v="19498.32"/>
    <n v="15"/>
    <n v="38996.639999999999"/>
    <n v="26685.94"/>
    <n v="12310.7"/>
    <x v="4"/>
    <x v="22"/>
    <x v="0"/>
    <x v="3"/>
    <x v="0"/>
  </r>
  <r>
    <s v="ORD00093"/>
    <s v="2024-10-22"/>
    <s v="Amit Kumar"/>
    <x v="1"/>
    <s v="Kolkata"/>
    <x v="1"/>
    <s v="General"/>
    <x v="15"/>
    <x v="1"/>
    <n v="1"/>
    <n v="39355.589999999997"/>
    <n v="5"/>
    <n v="39355.589999999997"/>
    <n v="31387.18"/>
    <n v="7968.41"/>
    <x v="2"/>
    <x v="36"/>
    <x v="0"/>
    <x v="4"/>
    <x v="0"/>
  </r>
  <r>
    <s v="ORD00094"/>
    <s v="2024-05-23"/>
    <s v="Sneha Iyer"/>
    <x v="3"/>
    <s v="Bengaluru"/>
    <x v="0"/>
    <s v="Educational"/>
    <x v="14"/>
    <x v="0"/>
    <n v="2"/>
    <n v="26575.86"/>
    <n v="25"/>
    <n v="53151.72"/>
    <n v="38374.42"/>
    <n v="14777.3"/>
    <x v="2"/>
    <x v="6"/>
    <x v="0"/>
    <x v="2"/>
    <x v="0"/>
  </r>
  <r>
    <s v="ORD00095"/>
    <s v="2025-01-12"/>
    <s v="Neha Singh"/>
    <x v="2"/>
    <s v="Ahmedabad"/>
    <x v="3"/>
    <s v="Headphones"/>
    <x v="20"/>
    <x v="3"/>
    <n v="3"/>
    <n v="12506.31"/>
    <n v="5"/>
    <n v="37518.93"/>
    <n v="27027.24"/>
    <n v="10491.69"/>
    <x v="1"/>
    <x v="23"/>
    <x v="0"/>
    <x v="6"/>
    <x v="1"/>
  </r>
  <r>
    <s v="ORD00096"/>
    <s v="2025-01-28"/>
    <s v="Arjun Mehta"/>
    <x v="5"/>
    <s v="Hyderabad"/>
    <x v="1"/>
    <s v="General"/>
    <x v="15"/>
    <x v="1"/>
    <n v="3"/>
    <n v="19180.77"/>
    <n v="10"/>
    <n v="57542.31"/>
    <n v="38679.360000000001"/>
    <n v="18862.95"/>
    <x v="2"/>
    <x v="1"/>
    <x v="0"/>
    <x v="6"/>
    <x v="1"/>
  </r>
  <r>
    <s v="ORD00097"/>
    <s v="2024-05-31"/>
    <s v="Priya Patel"/>
    <x v="6"/>
    <s v="Lucknow"/>
    <x v="4"/>
    <s v="Cookware"/>
    <x v="16"/>
    <x v="4"/>
    <n v="5"/>
    <n v="8877.51"/>
    <n v="10"/>
    <n v="44387.55"/>
    <n v="30629.45"/>
    <n v="13758.1"/>
    <x v="1"/>
    <x v="15"/>
    <x v="0"/>
    <x v="2"/>
    <x v="0"/>
  </r>
  <r>
    <s v="ORD00098"/>
    <s v="2025-02-02"/>
    <s v="Rohit Verma"/>
    <x v="6"/>
    <s v="Noida"/>
    <x v="1"/>
    <s v="General"/>
    <x v="6"/>
    <x v="1"/>
    <n v="2"/>
    <n v="32348.92"/>
    <n v="30"/>
    <n v="64697.84"/>
    <n v="51538.9"/>
    <n v="13158.94"/>
    <x v="4"/>
    <x v="4"/>
    <x v="0"/>
    <x v="8"/>
    <x v="1"/>
  </r>
  <r>
    <s v="ORD00099"/>
    <s v="2024-12-06"/>
    <s v="Pooja Nair"/>
    <x v="3"/>
    <s v="Bengaluru"/>
    <x v="3"/>
    <s v="Smartphones"/>
    <x v="3"/>
    <x v="3"/>
    <n v="2"/>
    <n v="19375.759999999998"/>
    <n v="15"/>
    <n v="38751.519999999997"/>
    <n v="27153.53"/>
    <n v="11597.99"/>
    <x v="4"/>
    <x v="37"/>
    <x v="0"/>
    <x v="1"/>
    <x v="0"/>
  </r>
  <r>
    <s v="ORD00100"/>
    <s v="2024-09-05"/>
    <s v="Rohit Verma"/>
    <x v="2"/>
    <s v="Ahmedabad"/>
    <x v="0"/>
    <s v="Educational"/>
    <x v="0"/>
    <x v="7"/>
    <n v="1"/>
    <n v="48157.93"/>
    <n v="10"/>
    <n v="48157.93"/>
    <n v="38123.65"/>
    <n v="10034.280000000001"/>
    <x v="3"/>
    <x v="7"/>
    <x v="0"/>
    <x v="0"/>
    <x v="0"/>
  </r>
  <r>
    <s v="ORD00101"/>
    <s v="2025-01-18"/>
    <s v="Karan Shah"/>
    <x v="0"/>
    <s v="New Delhi"/>
    <x v="3"/>
    <s v="Laptops"/>
    <x v="18"/>
    <x v="5"/>
    <n v="4"/>
    <n v="4360.05"/>
    <n v="5"/>
    <n v="17440.2"/>
    <n v="14118.33"/>
    <n v="3321.87"/>
    <x v="2"/>
    <x v="26"/>
    <x v="0"/>
    <x v="6"/>
    <x v="1"/>
  </r>
  <r>
    <s v="ORD00102"/>
    <s v="2024-10-22"/>
    <s v="Rahul Sharma"/>
    <x v="5"/>
    <s v="Hyderabad"/>
    <x v="1"/>
    <s v="General"/>
    <x v="8"/>
    <x v="1"/>
    <n v="1"/>
    <n v="38093.14"/>
    <n v="20"/>
    <n v="38093.14"/>
    <n v="29788.97"/>
    <n v="8304.17"/>
    <x v="4"/>
    <x v="32"/>
    <x v="0"/>
    <x v="4"/>
    <x v="0"/>
  </r>
  <r>
    <s v="ORD00103"/>
    <s v="2024-07-07"/>
    <s v="Arjun Mehta"/>
    <x v="0"/>
    <s v="New Delhi"/>
    <x v="0"/>
    <s v="Educational"/>
    <x v="0"/>
    <x v="7"/>
    <n v="5"/>
    <n v="32788.199999999997"/>
    <n v="20"/>
    <n v="163941"/>
    <n v="110480.89"/>
    <n v="53460.11"/>
    <x v="4"/>
    <x v="9"/>
    <x v="0"/>
    <x v="5"/>
    <x v="0"/>
  </r>
  <r>
    <s v="ORD00104"/>
    <s v="2024-07-14"/>
    <s v="Karan Shah"/>
    <x v="6"/>
    <s v="Lucknow"/>
    <x v="0"/>
    <s v="Fiction"/>
    <x v="13"/>
    <x v="0"/>
    <n v="1"/>
    <n v="42715.55"/>
    <n v="20"/>
    <n v="42715.55"/>
    <n v="33297.29"/>
    <n v="9418.26"/>
    <x v="4"/>
    <x v="2"/>
    <x v="0"/>
    <x v="5"/>
    <x v="0"/>
  </r>
  <r>
    <s v="ORD00105"/>
    <s v="2024-09-22"/>
    <s v="Priya Patel"/>
    <x v="0"/>
    <s v="New Delhi"/>
    <x v="2"/>
    <s v="Makeup"/>
    <x v="10"/>
    <x v="6"/>
    <n v="5"/>
    <n v="28758.42"/>
    <n v="15"/>
    <n v="143792.1"/>
    <n v="113986.34"/>
    <n v="29805.759999999998"/>
    <x v="5"/>
    <x v="13"/>
    <x v="0"/>
    <x v="0"/>
    <x v="0"/>
  </r>
  <r>
    <s v="ORD00106"/>
    <s v="2024-05-10"/>
    <s v="Pooja Nair"/>
    <x v="7"/>
    <s v="Coimbatore"/>
    <x v="0"/>
    <s v="Educational"/>
    <x v="0"/>
    <x v="7"/>
    <n v="2"/>
    <n v="22555.21"/>
    <n v="25"/>
    <n v="45110.42"/>
    <n v="37463.42"/>
    <n v="7647"/>
    <x v="1"/>
    <x v="17"/>
    <x v="0"/>
    <x v="2"/>
    <x v="0"/>
  </r>
  <r>
    <s v="ORD00107"/>
    <s v="2024-08-24"/>
    <s v="Rahul Sharma"/>
    <x v="2"/>
    <s v="Surat"/>
    <x v="1"/>
    <s v="General"/>
    <x v="24"/>
    <x v="1"/>
    <n v="1"/>
    <n v="33613.18"/>
    <n v="15"/>
    <n v="33613.18"/>
    <n v="27637.69"/>
    <n v="5975.49"/>
    <x v="2"/>
    <x v="0"/>
    <x v="0"/>
    <x v="11"/>
    <x v="0"/>
  </r>
  <r>
    <s v="ORD00108"/>
    <s v="2024-05-04"/>
    <s v="Rahul Sharma"/>
    <x v="4"/>
    <s v="Pune"/>
    <x v="1"/>
    <s v="General"/>
    <x v="15"/>
    <x v="1"/>
    <n v="5"/>
    <n v="44639"/>
    <n v="10"/>
    <n v="223195"/>
    <n v="153617.60000000001"/>
    <n v="69577.399999999994"/>
    <x v="4"/>
    <x v="19"/>
    <x v="0"/>
    <x v="2"/>
    <x v="0"/>
  </r>
  <r>
    <s v="ORD00109"/>
    <s v="2024-06-25"/>
    <s v="Sneha Iyer"/>
    <x v="6"/>
    <s v="Lucknow"/>
    <x v="1"/>
    <s v="General"/>
    <x v="1"/>
    <x v="1"/>
    <n v="5"/>
    <n v="11785.4"/>
    <n v="20"/>
    <n v="58927"/>
    <n v="46068.55"/>
    <n v="12858.45"/>
    <x v="2"/>
    <x v="14"/>
    <x v="0"/>
    <x v="10"/>
    <x v="0"/>
  </r>
  <r>
    <s v="ORD00110"/>
    <s v="2024-08-04"/>
    <s v="Rahul Sharma"/>
    <x v="7"/>
    <s v="Chennai"/>
    <x v="0"/>
    <s v="Fiction"/>
    <x v="22"/>
    <x v="0"/>
    <n v="1"/>
    <n v="30826.720000000001"/>
    <n v="5"/>
    <n v="30826.720000000001"/>
    <n v="21089.31"/>
    <n v="9737.41"/>
    <x v="1"/>
    <x v="1"/>
    <x v="0"/>
    <x v="11"/>
    <x v="0"/>
  </r>
  <r>
    <s v="ORD00111"/>
    <s v="2024-09-11"/>
    <s v="Neha Singh"/>
    <x v="4"/>
    <s v="Pune"/>
    <x v="1"/>
    <s v="General"/>
    <x v="8"/>
    <x v="1"/>
    <n v="4"/>
    <n v="35811.1"/>
    <n v="5"/>
    <n v="143244.4"/>
    <n v="119453.8"/>
    <n v="23790.6"/>
    <x v="5"/>
    <x v="30"/>
    <x v="0"/>
    <x v="0"/>
    <x v="0"/>
  </r>
  <r>
    <s v="ORD00112"/>
    <s v="2024-12-23"/>
    <s v="Priya Patel"/>
    <x v="5"/>
    <s v="Hyderabad"/>
    <x v="2"/>
    <s v="Makeup"/>
    <x v="19"/>
    <x v="2"/>
    <n v="3"/>
    <n v="45387.99"/>
    <n v="20"/>
    <n v="136163.97"/>
    <n v="90451.17"/>
    <n v="45712.800000000003"/>
    <x v="3"/>
    <x v="38"/>
    <x v="0"/>
    <x v="1"/>
    <x v="0"/>
  </r>
  <r>
    <s v="ORD00113"/>
    <s v="2024-08-05"/>
    <s v="Amit Kumar"/>
    <x v="4"/>
    <s v="Mumbai"/>
    <x v="4"/>
    <s v="Cookware"/>
    <x v="23"/>
    <x v="4"/>
    <n v="5"/>
    <n v="39263.94"/>
    <n v="25"/>
    <n v="196319.7"/>
    <n v="159503.07"/>
    <n v="36816.629999999997"/>
    <x v="2"/>
    <x v="28"/>
    <x v="2"/>
    <x v="11"/>
    <x v="0"/>
  </r>
  <r>
    <s v="ORD00114"/>
    <s v="2024-10-07"/>
    <s v="Rahul Sharma"/>
    <x v="1"/>
    <s v="Kolkata"/>
    <x v="0"/>
    <s v="Educational"/>
    <x v="0"/>
    <x v="0"/>
    <n v="1"/>
    <n v="19787.61"/>
    <n v="5"/>
    <n v="19787.61"/>
    <n v="13080.92"/>
    <n v="6706.69"/>
    <x v="0"/>
    <x v="1"/>
    <x v="0"/>
    <x v="4"/>
    <x v="0"/>
  </r>
  <r>
    <s v="ORD00115"/>
    <s v="2024-03-14"/>
    <s v="Anjali Gupta"/>
    <x v="6"/>
    <s v="Noida"/>
    <x v="1"/>
    <s v="General"/>
    <x v="8"/>
    <x v="1"/>
    <n v="4"/>
    <n v="26219.99"/>
    <n v="25"/>
    <n v="104879.96"/>
    <n v="76224.23"/>
    <n v="28655.73"/>
    <x v="0"/>
    <x v="37"/>
    <x v="0"/>
    <x v="7"/>
    <x v="0"/>
  </r>
  <r>
    <s v="ORD00116"/>
    <s v="2024-05-25"/>
    <s v="Rohit Verma"/>
    <x v="7"/>
    <s v="Coimbatore"/>
    <x v="2"/>
    <s v="Skincare"/>
    <x v="11"/>
    <x v="11"/>
    <n v="4"/>
    <n v="14286.02"/>
    <n v="20"/>
    <n v="57144.08"/>
    <n v="46857.85"/>
    <n v="10286.23"/>
    <x v="1"/>
    <x v="13"/>
    <x v="0"/>
    <x v="2"/>
    <x v="0"/>
  </r>
  <r>
    <s v="ORD00117"/>
    <s v="2025-02-02"/>
    <s v="Rohit Verma"/>
    <x v="0"/>
    <s v="New Delhi"/>
    <x v="1"/>
    <s v="General"/>
    <x v="15"/>
    <x v="1"/>
    <n v="3"/>
    <n v="13019.07"/>
    <n v="20"/>
    <n v="39057.21"/>
    <n v="28304.080000000002"/>
    <n v="10753.13"/>
    <x v="4"/>
    <x v="18"/>
    <x v="0"/>
    <x v="8"/>
    <x v="1"/>
  </r>
  <r>
    <s v="ORD00118"/>
    <s v="2024-07-18"/>
    <s v="Karan Shah"/>
    <x v="5"/>
    <s v="Hyderabad"/>
    <x v="2"/>
    <s v="Makeup"/>
    <x v="2"/>
    <x v="6"/>
    <n v="3"/>
    <n v="43488.42"/>
    <n v="5"/>
    <n v="130465.26"/>
    <n v="107004.37"/>
    <n v="23460.89"/>
    <x v="5"/>
    <x v="32"/>
    <x v="0"/>
    <x v="5"/>
    <x v="0"/>
  </r>
  <r>
    <s v="ORD00119"/>
    <s v="2024-09-10"/>
    <s v="Anjali Gupta"/>
    <x v="6"/>
    <s v="Noida"/>
    <x v="0"/>
    <s v="Educational"/>
    <x v="14"/>
    <x v="7"/>
    <n v="4"/>
    <n v="30903.49"/>
    <n v="15"/>
    <n v="123613.96"/>
    <n v="96203.29"/>
    <n v="27410.67"/>
    <x v="5"/>
    <x v="5"/>
    <x v="0"/>
    <x v="0"/>
    <x v="0"/>
  </r>
  <r>
    <s v="ORD00120"/>
    <s v="2025-01-15"/>
    <s v="Rohit Verma"/>
    <x v="3"/>
    <s v="Bengaluru"/>
    <x v="4"/>
    <s v="Storage"/>
    <x v="7"/>
    <x v="10"/>
    <n v="4"/>
    <n v="37405.46"/>
    <n v="15"/>
    <n v="149621.84"/>
    <n v="114506.86"/>
    <n v="35114.980000000003"/>
    <x v="2"/>
    <x v="11"/>
    <x v="0"/>
    <x v="6"/>
    <x v="1"/>
  </r>
  <r>
    <s v="ORD00121"/>
    <s v="2024-05-18"/>
    <s v="Priya Patel"/>
    <x v="1"/>
    <s v="Kolkata"/>
    <x v="3"/>
    <s v="Smartwatches"/>
    <x v="9"/>
    <x v="8"/>
    <n v="4"/>
    <n v="30593.67"/>
    <n v="30"/>
    <n v="122374.68"/>
    <n v="95069.38"/>
    <n v="27305.3"/>
    <x v="3"/>
    <x v="39"/>
    <x v="2"/>
    <x v="2"/>
    <x v="0"/>
  </r>
  <r>
    <s v="ORD00122"/>
    <s v="2024-05-27"/>
    <s v="Arjun Mehta"/>
    <x v="7"/>
    <s v="Coimbatore"/>
    <x v="3"/>
    <s v="Smartphones"/>
    <x v="20"/>
    <x v="3"/>
    <n v="3"/>
    <n v="28688.25"/>
    <n v="20"/>
    <n v="86064.75"/>
    <n v="69591.960000000006"/>
    <n v="16472.79"/>
    <x v="1"/>
    <x v="7"/>
    <x v="0"/>
    <x v="2"/>
    <x v="0"/>
  </r>
  <r>
    <s v="ORD00123"/>
    <s v="2024-03-21"/>
    <s v="Sneha Iyer"/>
    <x v="4"/>
    <s v="Mumbai"/>
    <x v="2"/>
    <s v="Skincare"/>
    <x v="17"/>
    <x v="6"/>
    <n v="3"/>
    <n v="12158.96"/>
    <n v="30"/>
    <n v="36476.879999999997"/>
    <n v="23837.37"/>
    <n v="12639.51"/>
    <x v="5"/>
    <x v="19"/>
    <x v="0"/>
    <x v="7"/>
    <x v="0"/>
  </r>
  <r>
    <s v="ORD00124"/>
    <s v="2024-04-21"/>
    <s v="Rahul Sharma"/>
    <x v="4"/>
    <s v="Nagpur"/>
    <x v="3"/>
    <s v="Smartwatches"/>
    <x v="20"/>
    <x v="12"/>
    <n v="3"/>
    <n v="24500.05"/>
    <n v="30"/>
    <n v="73500.149999999994"/>
    <n v="62207.53"/>
    <n v="11292.62"/>
    <x v="4"/>
    <x v="2"/>
    <x v="0"/>
    <x v="9"/>
    <x v="0"/>
  </r>
  <r>
    <s v="ORD00125"/>
    <s v="2024-09-13"/>
    <s v="Anjali Gupta"/>
    <x v="4"/>
    <s v="Mumbai"/>
    <x v="4"/>
    <s v="Storage"/>
    <x v="7"/>
    <x v="9"/>
    <n v="3"/>
    <n v="44412.88"/>
    <n v="30"/>
    <n v="133238.64000000001"/>
    <n v="109641.91"/>
    <n v="23596.73"/>
    <x v="3"/>
    <x v="23"/>
    <x v="0"/>
    <x v="0"/>
    <x v="0"/>
  </r>
  <r>
    <s v="ORD00126"/>
    <s v="2024-08-26"/>
    <s v="Neha Singh"/>
    <x v="1"/>
    <s v="Kolkata"/>
    <x v="3"/>
    <s v="Smartphones"/>
    <x v="12"/>
    <x v="3"/>
    <n v="3"/>
    <n v="26615.97"/>
    <n v="15"/>
    <n v="79847.91"/>
    <n v="65643.25"/>
    <n v="14204.66"/>
    <x v="5"/>
    <x v="22"/>
    <x v="0"/>
    <x v="11"/>
    <x v="0"/>
  </r>
  <r>
    <s v="ORD00127"/>
    <s v="2024-10-02"/>
    <s v="Pooja Nair"/>
    <x v="5"/>
    <s v="Hyderabad"/>
    <x v="1"/>
    <s v="General"/>
    <x v="8"/>
    <x v="1"/>
    <n v="1"/>
    <n v="3979.4"/>
    <n v="25"/>
    <n v="3979.4"/>
    <n v="3377.9"/>
    <n v="601.5"/>
    <x v="0"/>
    <x v="33"/>
    <x v="2"/>
    <x v="4"/>
    <x v="0"/>
  </r>
  <r>
    <s v="ORD00128"/>
    <s v="2024-05-02"/>
    <s v="Anjali Gupta"/>
    <x v="3"/>
    <s v="Mysuru"/>
    <x v="2"/>
    <s v="Makeup"/>
    <x v="10"/>
    <x v="2"/>
    <n v="2"/>
    <n v="49687.49"/>
    <n v="20"/>
    <n v="99374.98"/>
    <n v="80319.710000000006"/>
    <n v="19055.27"/>
    <x v="1"/>
    <x v="15"/>
    <x v="0"/>
    <x v="2"/>
    <x v="0"/>
  </r>
  <r>
    <s v="ORD00129"/>
    <s v="2024-08-10"/>
    <s v="Karan Shah"/>
    <x v="0"/>
    <s v="New Delhi"/>
    <x v="3"/>
    <s v="Smartphones"/>
    <x v="18"/>
    <x v="3"/>
    <n v="3"/>
    <n v="11289.42"/>
    <n v="25"/>
    <n v="33868.26"/>
    <n v="27510"/>
    <n v="6358.26"/>
    <x v="1"/>
    <x v="10"/>
    <x v="0"/>
    <x v="11"/>
    <x v="0"/>
  </r>
  <r>
    <s v="ORD00130"/>
    <s v="2024-06-17"/>
    <s v="Neha Singh"/>
    <x v="1"/>
    <s v="Kolkata"/>
    <x v="1"/>
    <s v="General"/>
    <x v="24"/>
    <x v="1"/>
    <n v="3"/>
    <n v="27309.73"/>
    <n v="10"/>
    <n v="81929.19"/>
    <n v="66232.100000000006"/>
    <n v="15697.09"/>
    <x v="5"/>
    <x v="9"/>
    <x v="0"/>
    <x v="10"/>
    <x v="0"/>
  </r>
  <r>
    <s v="ORD00131"/>
    <s v="2025-01-11"/>
    <s v="Rahul Sharma"/>
    <x v="6"/>
    <s v="Lucknow"/>
    <x v="3"/>
    <s v="Smartwatches"/>
    <x v="18"/>
    <x v="12"/>
    <n v="5"/>
    <n v="30374.400000000001"/>
    <n v="5"/>
    <n v="151872"/>
    <n v="108375.58"/>
    <n v="43496.42"/>
    <x v="5"/>
    <x v="31"/>
    <x v="0"/>
    <x v="6"/>
    <x v="1"/>
  </r>
  <r>
    <s v="ORD00132"/>
    <s v="2024-04-20"/>
    <s v="Sneha Iyer"/>
    <x v="5"/>
    <s v="Hyderabad"/>
    <x v="2"/>
    <s v="Makeup"/>
    <x v="19"/>
    <x v="2"/>
    <n v="4"/>
    <n v="15486.41"/>
    <n v="5"/>
    <n v="61945.64"/>
    <n v="42039.519999999997"/>
    <n v="19906.12"/>
    <x v="3"/>
    <x v="40"/>
    <x v="0"/>
    <x v="9"/>
    <x v="0"/>
  </r>
  <r>
    <s v="ORD00133"/>
    <s v="2024-08-10"/>
    <s v="Rahul Sharma"/>
    <x v="3"/>
    <s v="Bengaluru"/>
    <x v="3"/>
    <s v="Laptops"/>
    <x v="3"/>
    <x v="3"/>
    <n v="1"/>
    <n v="33698.339999999997"/>
    <n v="30"/>
    <n v="33698.339999999997"/>
    <n v="25336.33"/>
    <n v="8362.01"/>
    <x v="0"/>
    <x v="24"/>
    <x v="0"/>
    <x v="11"/>
    <x v="0"/>
  </r>
  <r>
    <s v="ORD00134"/>
    <s v="2024-03-30"/>
    <s v="Rahul Sharma"/>
    <x v="1"/>
    <s v="Kolkata"/>
    <x v="1"/>
    <s v="General"/>
    <x v="24"/>
    <x v="1"/>
    <n v="5"/>
    <n v="42987.64"/>
    <n v="15"/>
    <n v="214938.2"/>
    <n v="176903.2"/>
    <n v="38035"/>
    <x v="2"/>
    <x v="13"/>
    <x v="0"/>
    <x v="7"/>
    <x v="0"/>
  </r>
  <r>
    <s v="ORD00135"/>
    <s v="2024-11-28"/>
    <s v="Rohit Verma"/>
    <x v="6"/>
    <s v="Noida"/>
    <x v="3"/>
    <s v="Laptops"/>
    <x v="3"/>
    <x v="12"/>
    <n v="5"/>
    <n v="1104.25"/>
    <n v="15"/>
    <n v="5521.25"/>
    <n v="4531.4799999999996"/>
    <n v="989.77"/>
    <x v="1"/>
    <x v="28"/>
    <x v="0"/>
    <x v="3"/>
    <x v="0"/>
  </r>
  <r>
    <s v="ORD00136"/>
    <s v="2024-06-01"/>
    <s v="Pooja Nair"/>
    <x v="5"/>
    <s v="Hyderabad"/>
    <x v="1"/>
    <s v="General"/>
    <x v="8"/>
    <x v="1"/>
    <n v="4"/>
    <n v="14043.16"/>
    <n v="10"/>
    <n v="56172.639999999999"/>
    <n v="44372.81"/>
    <n v="11799.83"/>
    <x v="2"/>
    <x v="4"/>
    <x v="0"/>
    <x v="10"/>
    <x v="0"/>
  </r>
  <r>
    <s v="ORD00137"/>
    <s v="2024-10-28"/>
    <s v="Sneha Iyer"/>
    <x v="1"/>
    <s v="Kolkata"/>
    <x v="0"/>
    <s v="Fiction"/>
    <x v="14"/>
    <x v="7"/>
    <n v="1"/>
    <n v="24032.880000000001"/>
    <n v="10"/>
    <n v="24032.880000000001"/>
    <n v="15952.34"/>
    <n v="8080.54"/>
    <x v="2"/>
    <x v="28"/>
    <x v="0"/>
    <x v="4"/>
    <x v="0"/>
  </r>
  <r>
    <s v="ORD00138"/>
    <s v="2025-01-02"/>
    <s v="Arjun Mehta"/>
    <x v="2"/>
    <s v="Surat"/>
    <x v="2"/>
    <s v="Skincare"/>
    <x v="2"/>
    <x v="11"/>
    <n v="3"/>
    <n v="32283.58"/>
    <n v="30"/>
    <n v="96850.74"/>
    <n v="76272.98"/>
    <n v="20577.759999999998"/>
    <x v="3"/>
    <x v="2"/>
    <x v="0"/>
    <x v="6"/>
    <x v="1"/>
  </r>
  <r>
    <s v="ORD00139"/>
    <s v="2025-02-03"/>
    <s v="Neha Singh"/>
    <x v="6"/>
    <s v="Noida"/>
    <x v="2"/>
    <s v="Skincare"/>
    <x v="11"/>
    <x v="6"/>
    <n v="1"/>
    <n v="3848.54"/>
    <n v="30"/>
    <n v="3848.54"/>
    <n v="2669.53"/>
    <n v="1179.01"/>
    <x v="5"/>
    <x v="33"/>
    <x v="0"/>
    <x v="8"/>
    <x v="1"/>
  </r>
  <r>
    <s v="ORD00140"/>
    <s v="2024-07-10"/>
    <s v="Arjun Mehta"/>
    <x v="7"/>
    <s v="Coimbatore"/>
    <x v="4"/>
    <s v="Storage"/>
    <x v="4"/>
    <x v="4"/>
    <n v="1"/>
    <n v="48175.48"/>
    <n v="10"/>
    <n v="48175.48"/>
    <n v="38311.07"/>
    <n v="9864.41"/>
    <x v="3"/>
    <x v="39"/>
    <x v="0"/>
    <x v="5"/>
    <x v="0"/>
  </r>
  <r>
    <s v="ORD00141"/>
    <s v="2025-01-01"/>
    <s v="Anjali Gupta"/>
    <x v="2"/>
    <s v="Ahmedabad"/>
    <x v="3"/>
    <s v="Laptops"/>
    <x v="9"/>
    <x v="12"/>
    <n v="2"/>
    <n v="2273.0100000000002"/>
    <n v="20"/>
    <n v="4546.0200000000004"/>
    <n v="3372.43"/>
    <n v="1173.5899999999999"/>
    <x v="1"/>
    <x v="17"/>
    <x v="0"/>
    <x v="6"/>
    <x v="1"/>
  </r>
  <r>
    <s v="ORD00142"/>
    <s v="2025-01-27"/>
    <s v="Rahul Sharma"/>
    <x v="7"/>
    <s v="Chennai"/>
    <x v="1"/>
    <s v="General"/>
    <x v="8"/>
    <x v="1"/>
    <n v="3"/>
    <n v="48346.41"/>
    <n v="25"/>
    <n v="145039.23000000001"/>
    <n v="120756.99"/>
    <n v="24282.240000000002"/>
    <x v="0"/>
    <x v="23"/>
    <x v="0"/>
    <x v="6"/>
    <x v="1"/>
  </r>
  <r>
    <s v="ORD00143"/>
    <s v="2024-09-19"/>
    <s v="Sneha Iyer"/>
    <x v="1"/>
    <s v="Kolkata"/>
    <x v="4"/>
    <s v="Storage"/>
    <x v="7"/>
    <x v="4"/>
    <n v="2"/>
    <n v="8383.86"/>
    <n v="15"/>
    <n v="16767.72"/>
    <n v="14210.53"/>
    <n v="2557.19"/>
    <x v="2"/>
    <x v="4"/>
    <x v="0"/>
    <x v="0"/>
    <x v="0"/>
  </r>
  <r>
    <s v="ORD00144"/>
    <s v="2024-05-16"/>
    <s v="Pooja Nair"/>
    <x v="1"/>
    <s v="Kolkata"/>
    <x v="2"/>
    <s v="Skincare"/>
    <x v="19"/>
    <x v="11"/>
    <n v="1"/>
    <n v="15344.02"/>
    <n v="20"/>
    <n v="15344.02"/>
    <n v="12739.33"/>
    <n v="2604.69"/>
    <x v="1"/>
    <x v="9"/>
    <x v="0"/>
    <x v="2"/>
    <x v="0"/>
  </r>
  <r>
    <s v="ORD00145"/>
    <s v="2024-03-04"/>
    <s v="Amit Kumar"/>
    <x v="5"/>
    <s v="Hyderabad"/>
    <x v="3"/>
    <s v="Smartphones"/>
    <x v="12"/>
    <x v="5"/>
    <n v="4"/>
    <n v="49142.57"/>
    <n v="10"/>
    <n v="196570.28"/>
    <n v="159005.4"/>
    <n v="37564.879999999997"/>
    <x v="1"/>
    <x v="35"/>
    <x v="0"/>
    <x v="7"/>
    <x v="0"/>
  </r>
  <r>
    <s v="ORD00146"/>
    <s v="2024-03-30"/>
    <s v="Rohit Verma"/>
    <x v="4"/>
    <s v="Nagpur"/>
    <x v="0"/>
    <s v="Fiction"/>
    <x v="22"/>
    <x v="7"/>
    <n v="5"/>
    <n v="45182.27"/>
    <n v="25"/>
    <n v="225911.35"/>
    <n v="179226.56"/>
    <n v="46684.79"/>
    <x v="0"/>
    <x v="4"/>
    <x v="2"/>
    <x v="7"/>
    <x v="0"/>
  </r>
  <r>
    <s v="ORD00147"/>
    <s v="2024-05-11"/>
    <s v="Neha Singh"/>
    <x v="2"/>
    <s v="Surat"/>
    <x v="1"/>
    <s v="General"/>
    <x v="8"/>
    <x v="1"/>
    <n v="2"/>
    <n v="18309.060000000001"/>
    <n v="5"/>
    <n v="36618.120000000003"/>
    <n v="25021.74"/>
    <n v="11596.38"/>
    <x v="5"/>
    <x v="30"/>
    <x v="0"/>
    <x v="2"/>
    <x v="0"/>
  </r>
  <r>
    <s v="ORD00148"/>
    <s v="2024-08-21"/>
    <s v="Rohit Verma"/>
    <x v="4"/>
    <s v="Nagpur"/>
    <x v="3"/>
    <s v="Headphones"/>
    <x v="3"/>
    <x v="12"/>
    <n v="4"/>
    <n v="33021.1"/>
    <n v="20"/>
    <n v="132084.4"/>
    <n v="94621.18"/>
    <n v="37463.22"/>
    <x v="0"/>
    <x v="2"/>
    <x v="0"/>
    <x v="11"/>
    <x v="0"/>
  </r>
  <r>
    <s v="ORD00149"/>
    <s v="2024-09-27"/>
    <s v="Karan Shah"/>
    <x v="2"/>
    <s v="Surat"/>
    <x v="1"/>
    <s v="General"/>
    <x v="8"/>
    <x v="1"/>
    <n v="5"/>
    <n v="42814.17"/>
    <n v="15"/>
    <n v="214070.85"/>
    <n v="139690.18"/>
    <n v="74380.67"/>
    <x v="0"/>
    <x v="24"/>
    <x v="0"/>
    <x v="0"/>
    <x v="0"/>
  </r>
  <r>
    <s v="ORD00150"/>
    <s v="2024-12-31"/>
    <s v="Anjali Gupta"/>
    <x v="3"/>
    <s v="Mysuru"/>
    <x v="2"/>
    <s v="Makeup"/>
    <x v="10"/>
    <x v="2"/>
    <n v="2"/>
    <n v="5293.87"/>
    <n v="20"/>
    <n v="10587.74"/>
    <n v="8035.24"/>
    <n v="2552.5"/>
    <x v="0"/>
    <x v="29"/>
    <x v="0"/>
    <x v="1"/>
    <x v="0"/>
  </r>
  <r>
    <s v="ORD00151"/>
    <s v="2025-02-02"/>
    <s v="Neha Singh"/>
    <x v="6"/>
    <s v="Noida"/>
    <x v="0"/>
    <s v="Educational"/>
    <x v="21"/>
    <x v="0"/>
    <n v="5"/>
    <n v="16596.580000000002"/>
    <n v="30"/>
    <n v="82982.899999999994"/>
    <n v="56125.74"/>
    <n v="26857.16"/>
    <x v="1"/>
    <x v="37"/>
    <x v="0"/>
    <x v="8"/>
    <x v="1"/>
  </r>
  <r>
    <s v="ORD00152"/>
    <s v="2024-02-20"/>
    <s v="Amit Kumar"/>
    <x v="0"/>
    <s v="New Delhi"/>
    <x v="1"/>
    <s v="General"/>
    <x v="6"/>
    <x v="1"/>
    <n v="1"/>
    <n v="48940.95"/>
    <n v="20"/>
    <n v="48940.95"/>
    <n v="39090.9"/>
    <n v="9850.0499999999993"/>
    <x v="5"/>
    <x v="34"/>
    <x v="0"/>
    <x v="8"/>
    <x v="0"/>
  </r>
  <r>
    <s v="ORD00153"/>
    <s v="2024-03-23"/>
    <s v="Anjali Gupta"/>
    <x v="6"/>
    <s v="Noida"/>
    <x v="1"/>
    <s v="General"/>
    <x v="1"/>
    <x v="1"/>
    <n v="5"/>
    <n v="10059.450000000001"/>
    <n v="25"/>
    <n v="50297.25"/>
    <n v="41017.69"/>
    <n v="9279.56"/>
    <x v="3"/>
    <x v="17"/>
    <x v="2"/>
    <x v="7"/>
    <x v="0"/>
  </r>
  <r>
    <s v="ORD00154"/>
    <s v="2024-12-10"/>
    <s v="Karan Shah"/>
    <x v="6"/>
    <s v="Lucknow"/>
    <x v="2"/>
    <s v="Makeup"/>
    <x v="10"/>
    <x v="11"/>
    <n v="1"/>
    <n v="4820.8"/>
    <n v="25"/>
    <n v="4820.8"/>
    <n v="3847.39"/>
    <n v="973.41"/>
    <x v="2"/>
    <x v="17"/>
    <x v="0"/>
    <x v="1"/>
    <x v="0"/>
  </r>
  <r>
    <s v="ORD00155"/>
    <s v="2024-11-21"/>
    <s v="Priya Patel"/>
    <x v="5"/>
    <s v="Hyderabad"/>
    <x v="0"/>
    <s v="Fiction"/>
    <x v="14"/>
    <x v="0"/>
    <n v="4"/>
    <n v="12087.35"/>
    <n v="15"/>
    <n v="48349.4"/>
    <n v="39557.160000000003"/>
    <n v="8792.24"/>
    <x v="1"/>
    <x v="8"/>
    <x v="0"/>
    <x v="3"/>
    <x v="0"/>
  </r>
  <r>
    <s v="ORD00156"/>
    <s v="2024-09-11"/>
    <s v="Priya Patel"/>
    <x v="6"/>
    <s v="Lucknow"/>
    <x v="2"/>
    <s v="Makeup"/>
    <x v="2"/>
    <x v="2"/>
    <n v="5"/>
    <n v="43522.080000000002"/>
    <n v="15"/>
    <n v="217610.4"/>
    <n v="159385.15"/>
    <n v="58225.25"/>
    <x v="3"/>
    <x v="38"/>
    <x v="0"/>
    <x v="0"/>
    <x v="0"/>
  </r>
  <r>
    <s v="ORD00157"/>
    <s v="2024-08-25"/>
    <s v="Rohit Verma"/>
    <x v="4"/>
    <s v="Mumbai"/>
    <x v="3"/>
    <s v="Headphones"/>
    <x v="3"/>
    <x v="3"/>
    <n v="1"/>
    <n v="42409.26"/>
    <n v="30"/>
    <n v="42409.26"/>
    <n v="27845"/>
    <n v="14564.26"/>
    <x v="0"/>
    <x v="6"/>
    <x v="0"/>
    <x v="11"/>
    <x v="0"/>
  </r>
  <r>
    <s v="ORD00158"/>
    <s v="2024-06-22"/>
    <s v="Rohit Verma"/>
    <x v="0"/>
    <s v="New Delhi"/>
    <x v="0"/>
    <s v="Educational"/>
    <x v="21"/>
    <x v="7"/>
    <n v="5"/>
    <n v="29882.47"/>
    <n v="20"/>
    <n v="149412.35"/>
    <n v="99503.62"/>
    <n v="49908.73"/>
    <x v="2"/>
    <x v="25"/>
    <x v="0"/>
    <x v="10"/>
    <x v="0"/>
  </r>
  <r>
    <s v="ORD00159"/>
    <s v="2025-01-05"/>
    <s v="Arjun Mehta"/>
    <x v="7"/>
    <s v="Coimbatore"/>
    <x v="3"/>
    <s v="Headphones"/>
    <x v="3"/>
    <x v="14"/>
    <n v="5"/>
    <n v="40233.279999999999"/>
    <n v="20"/>
    <n v="201166.4"/>
    <n v="150291.29"/>
    <n v="50875.11"/>
    <x v="2"/>
    <x v="30"/>
    <x v="2"/>
    <x v="6"/>
    <x v="1"/>
  </r>
  <r>
    <s v="ORD00160"/>
    <s v="2024-08-06"/>
    <s v="Sneha Iyer"/>
    <x v="1"/>
    <s v="Kolkata"/>
    <x v="4"/>
    <s v="Cookware"/>
    <x v="23"/>
    <x v="9"/>
    <n v="4"/>
    <n v="15357.36"/>
    <n v="10"/>
    <n v="61429.440000000002"/>
    <n v="41440.769999999997"/>
    <n v="19988.669999999998"/>
    <x v="0"/>
    <x v="14"/>
    <x v="0"/>
    <x v="11"/>
    <x v="0"/>
  </r>
  <r>
    <s v="ORD00161"/>
    <s v="2024-07-04"/>
    <s v="Arjun Mehta"/>
    <x v="4"/>
    <s v="Nagpur"/>
    <x v="0"/>
    <s v="Fiction"/>
    <x v="22"/>
    <x v="7"/>
    <n v="4"/>
    <n v="10565.57"/>
    <n v="25"/>
    <n v="42262.28"/>
    <n v="27843.16"/>
    <n v="14419.12"/>
    <x v="5"/>
    <x v="39"/>
    <x v="0"/>
    <x v="5"/>
    <x v="0"/>
  </r>
  <r>
    <s v="ORD00162"/>
    <s v="2024-11-28"/>
    <s v="Pooja Nair"/>
    <x v="5"/>
    <s v="Hyderabad"/>
    <x v="0"/>
    <s v="Educational"/>
    <x v="21"/>
    <x v="7"/>
    <n v="4"/>
    <n v="42533.26"/>
    <n v="15"/>
    <n v="170133.04"/>
    <n v="138431.45000000001"/>
    <n v="31701.59"/>
    <x v="0"/>
    <x v="33"/>
    <x v="0"/>
    <x v="3"/>
    <x v="0"/>
  </r>
  <r>
    <s v="ORD00163"/>
    <s v="2024-10-18"/>
    <s v="Sneha Iyer"/>
    <x v="2"/>
    <s v="Ahmedabad"/>
    <x v="4"/>
    <s v="Storage"/>
    <x v="5"/>
    <x v="4"/>
    <n v="4"/>
    <n v="18426.900000000001"/>
    <n v="5"/>
    <n v="73707.600000000006"/>
    <n v="54420.68"/>
    <n v="19286.919999999998"/>
    <x v="0"/>
    <x v="25"/>
    <x v="2"/>
    <x v="4"/>
    <x v="0"/>
  </r>
  <r>
    <s v="ORD00164"/>
    <s v="2024-11-23"/>
    <s v="Anjali Gupta"/>
    <x v="4"/>
    <s v="Mumbai"/>
    <x v="2"/>
    <s v="Skincare"/>
    <x v="10"/>
    <x v="2"/>
    <n v="1"/>
    <n v="23369.23"/>
    <n v="5"/>
    <n v="23369.23"/>
    <n v="19670.7"/>
    <n v="3698.53"/>
    <x v="4"/>
    <x v="39"/>
    <x v="1"/>
    <x v="3"/>
    <x v="0"/>
  </r>
  <r>
    <s v="ORD00165"/>
    <s v="2024-12-20"/>
    <s v="Rahul Sharma"/>
    <x v="1"/>
    <s v="Kolkata"/>
    <x v="2"/>
    <s v="Skincare"/>
    <x v="10"/>
    <x v="2"/>
    <n v="5"/>
    <n v="2735.32"/>
    <n v="25"/>
    <n v="13676.6"/>
    <n v="10433.959999999999"/>
    <n v="3242.64"/>
    <x v="2"/>
    <x v="8"/>
    <x v="0"/>
    <x v="1"/>
    <x v="0"/>
  </r>
  <r>
    <s v="ORD00166"/>
    <s v="2024-07-04"/>
    <s v="Rahul Sharma"/>
    <x v="1"/>
    <s v="Kolkata"/>
    <x v="3"/>
    <s v="Headphones"/>
    <x v="18"/>
    <x v="14"/>
    <n v="3"/>
    <n v="48944.01"/>
    <n v="5"/>
    <n v="146832.03"/>
    <n v="114040.99"/>
    <n v="32791.040000000001"/>
    <x v="3"/>
    <x v="24"/>
    <x v="0"/>
    <x v="5"/>
    <x v="0"/>
  </r>
  <r>
    <s v="ORD00167"/>
    <s v="2024-04-11"/>
    <s v="Priya Patel"/>
    <x v="1"/>
    <s v="Kolkata"/>
    <x v="2"/>
    <s v="Makeup"/>
    <x v="17"/>
    <x v="11"/>
    <n v="2"/>
    <n v="32590.46"/>
    <n v="25"/>
    <n v="65180.92"/>
    <n v="42374.55"/>
    <n v="22806.37"/>
    <x v="5"/>
    <x v="7"/>
    <x v="0"/>
    <x v="9"/>
    <x v="0"/>
  </r>
  <r>
    <s v="ORD00168"/>
    <s v="2024-10-09"/>
    <s v="Anjali Gupta"/>
    <x v="0"/>
    <s v="New Delhi"/>
    <x v="2"/>
    <s v="Skincare"/>
    <x v="17"/>
    <x v="2"/>
    <n v="2"/>
    <n v="35286.97"/>
    <n v="25"/>
    <n v="70573.94"/>
    <n v="52903.94"/>
    <n v="17670"/>
    <x v="5"/>
    <x v="26"/>
    <x v="0"/>
    <x v="4"/>
    <x v="0"/>
  </r>
  <r>
    <s v="ORD00169"/>
    <s v="2024-11-29"/>
    <s v="Rohit Verma"/>
    <x v="7"/>
    <s v="Coimbatore"/>
    <x v="0"/>
    <s v="Fiction"/>
    <x v="21"/>
    <x v="0"/>
    <n v="3"/>
    <n v="42881.03"/>
    <n v="10"/>
    <n v="128643.09"/>
    <n v="90252.9"/>
    <n v="38390.19"/>
    <x v="5"/>
    <x v="2"/>
    <x v="0"/>
    <x v="3"/>
    <x v="0"/>
  </r>
  <r>
    <s v="ORD00170"/>
    <s v="2024-06-03"/>
    <s v="Karan Shah"/>
    <x v="4"/>
    <s v="Nagpur"/>
    <x v="2"/>
    <s v="Skincare"/>
    <x v="19"/>
    <x v="2"/>
    <n v="2"/>
    <n v="28246.25"/>
    <n v="5"/>
    <n v="56492.5"/>
    <n v="41268.160000000003"/>
    <n v="15224.34"/>
    <x v="5"/>
    <x v="10"/>
    <x v="0"/>
    <x v="10"/>
    <x v="0"/>
  </r>
  <r>
    <s v="ORD00171"/>
    <s v="2024-12-06"/>
    <s v="Amit Kumar"/>
    <x v="5"/>
    <s v="Hyderabad"/>
    <x v="2"/>
    <s v="Skincare"/>
    <x v="19"/>
    <x v="2"/>
    <n v="2"/>
    <n v="24619.84"/>
    <n v="25"/>
    <n v="49239.68"/>
    <n v="33609.53"/>
    <n v="15630.15"/>
    <x v="0"/>
    <x v="27"/>
    <x v="0"/>
    <x v="1"/>
    <x v="0"/>
  </r>
  <r>
    <s v="ORD00172"/>
    <s v="2024-11-23"/>
    <s v="Priya Patel"/>
    <x v="7"/>
    <s v="Coimbatore"/>
    <x v="1"/>
    <s v="General"/>
    <x v="24"/>
    <x v="1"/>
    <n v="3"/>
    <n v="12083.96"/>
    <n v="30"/>
    <n v="36251.879999999997"/>
    <n v="27795.96"/>
    <n v="8455.92"/>
    <x v="2"/>
    <x v="32"/>
    <x v="0"/>
    <x v="3"/>
    <x v="0"/>
  </r>
  <r>
    <s v="ORD00173"/>
    <s v="2025-01-14"/>
    <s v="Arjun Mehta"/>
    <x v="1"/>
    <s v="Kolkata"/>
    <x v="0"/>
    <s v="Fiction"/>
    <x v="22"/>
    <x v="7"/>
    <n v="5"/>
    <n v="12214.72"/>
    <n v="10"/>
    <n v="61073.599999999999"/>
    <n v="45495.6"/>
    <n v="15578"/>
    <x v="1"/>
    <x v="37"/>
    <x v="0"/>
    <x v="6"/>
    <x v="1"/>
  </r>
  <r>
    <s v="ORD00174"/>
    <s v="2024-07-16"/>
    <s v="Arjun Mehta"/>
    <x v="7"/>
    <s v="Coimbatore"/>
    <x v="0"/>
    <s v="Educational"/>
    <x v="21"/>
    <x v="0"/>
    <n v="1"/>
    <n v="19386.27"/>
    <n v="30"/>
    <n v="19386.27"/>
    <n v="15159.56"/>
    <n v="4226.71"/>
    <x v="3"/>
    <x v="27"/>
    <x v="0"/>
    <x v="5"/>
    <x v="0"/>
  </r>
  <r>
    <s v="ORD00175"/>
    <s v="2024-04-12"/>
    <s v="Rohit Verma"/>
    <x v="3"/>
    <s v="Mysuru"/>
    <x v="0"/>
    <s v="Fiction"/>
    <x v="0"/>
    <x v="7"/>
    <n v="3"/>
    <n v="34879.4"/>
    <n v="30"/>
    <n v="104638.2"/>
    <n v="82588.240000000005"/>
    <n v="22049.96"/>
    <x v="1"/>
    <x v="15"/>
    <x v="2"/>
    <x v="9"/>
    <x v="0"/>
  </r>
  <r>
    <s v="ORD00176"/>
    <s v="2024-09-27"/>
    <s v="Rahul Sharma"/>
    <x v="4"/>
    <s v="Nagpur"/>
    <x v="3"/>
    <s v="Smartwatches"/>
    <x v="18"/>
    <x v="8"/>
    <n v="5"/>
    <n v="32016.11"/>
    <n v="30"/>
    <n v="160080.54999999999"/>
    <n v="105211.32"/>
    <n v="54869.23"/>
    <x v="0"/>
    <x v="17"/>
    <x v="0"/>
    <x v="0"/>
    <x v="0"/>
  </r>
  <r>
    <s v="ORD00177"/>
    <s v="2024-07-22"/>
    <s v="Neha Singh"/>
    <x v="2"/>
    <s v="Ahmedabad"/>
    <x v="1"/>
    <s v="General"/>
    <x v="15"/>
    <x v="1"/>
    <n v="1"/>
    <n v="32264.17"/>
    <n v="30"/>
    <n v="32264.17"/>
    <n v="23588.38"/>
    <n v="8675.7900000000009"/>
    <x v="5"/>
    <x v="27"/>
    <x v="0"/>
    <x v="5"/>
    <x v="0"/>
  </r>
  <r>
    <s v="ORD00178"/>
    <s v="2024-07-29"/>
    <s v="Pooja Nair"/>
    <x v="1"/>
    <s v="Kolkata"/>
    <x v="2"/>
    <s v="Makeup"/>
    <x v="19"/>
    <x v="2"/>
    <n v="4"/>
    <n v="30171.74"/>
    <n v="25"/>
    <n v="120686.96"/>
    <n v="81573.53"/>
    <n v="39113.43"/>
    <x v="5"/>
    <x v="28"/>
    <x v="0"/>
    <x v="5"/>
    <x v="0"/>
  </r>
  <r>
    <s v="ORD00179"/>
    <s v="2025-01-24"/>
    <s v="Sneha Iyer"/>
    <x v="1"/>
    <s v="Kolkata"/>
    <x v="1"/>
    <s v="General"/>
    <x v="24"/>
    <x v="1"/>
    <n v="5"/>
    <n v="22712.18"/>
    <n v="30"/>
    <n v="113560.9"/>
    <n v="93388.76"/>
    <n v="20172.14"/>
    <x v="3"/>
    <x v="1"/>
    <x v="0"/>
    <x v="6"/>
    <x v="1"/>
  </r>
  <r>
    <s v="ORD00180"/>
    <s v="2025-02-09"/>
    <s v="Arjun Mehta"/>
    <x v="6"/>
    <s v="Lucknow"/>
    <x v="0"/>
    <s v="Fiction"/>
    <x v="13"/>
    <x v="7"/>
    <n v="1"/>
    <n v="27204.69"/>
    <n v="10"/>
    <n v="27204.69"/>
    <n v="20665.05"/>
    <n v="6539.64"/>
    <x v="0"/>
    <x v="18"/>
    <x v="0"/>
    <x v="8"/>
    <x v="1"/>
  </r>
  <r>
    <s v="ORD00181"/>
    <s v="2024-12-04"/>
    <s v="Rohit Verma"/>
    <x v="1"/>
    <s v="Kolkata"/>
    <x v="0"/>
    <s v="Educational"/>
    <x v="0"/>
    <x v="0"/>
    <n v="1"/>
    <n v="17353.47"/>
    <n v="15"/>
    <n v="17353.47"/>
    <n v="14433.93"/>
    <n v="2919.54"/>
    <x v="4"/>
    <x v="8"/>
    <x v="0"/>
    <x v="1"/>
    <x v="0"/>
  </r>
  <r>
    <s v="ORD00182"/>
    <s v="2024-05-11"/>
    <s v="Neha Singh"/>
    <x v="7"/>
    <s v="Coimbatore"/>
    <x v="4"/>
    <s v="Storage"/>
    <x v="23"/>
    <x v="9"/>
    <n v="1"/>
    <n v="44882.2"/>
    <n v="10"/>
    <n v="44882.2"/>
    <n v="36583.51"/>
    <n v="8298.69"/>
    <x v="3"/>
    <x v="11"/>
    <x v="0"/>
    <x v="2"/>
    <x v="0"/>
  </r>
  <r>
    <s v="ORD00183"/>
    <s v="2024-03-05"/>
    <s v="Rohit Verma"/>
    <x v="3"/>
    <s v="Mysuru"/>
    <x v="4"/>
    <s v="Storage"/>
    <x v="23"/>
    <x v="4"/>
    <n v="3"/>
    <n v="47002.720000000001"/>
    <n v="10"/>
    <n v="141008.16"/>
    <n v="105849.17"/>
    <n v="35158.99"/>
    <x v="0"/>
    <x v="27"/>
    <x v="2"/>
    <x v="7"/>
    <x v="0"/>
  </r>
  <r>
    <s v="ORD00184"/>
    <s v="2024-07-05"/>
    <s v="Arjun Mehta"/>
    <x v="1"/>
    <s v="Kolkata"/>
    <x v="2"/>
    <s v="Skincare"/>
    <x v="11"/>
    <x v="6"/>
    <n v="4"/>
    <n v="33659.67"/>
    <n v="5"/>
    <n v="134638.68"/>
    <n v="98680.02"/>
    <n v="35958.660000000003"/>
    <x v="2"/>
    <x v="26"/>
    <x v="0"/>
    <x v="5"/>
    <x v="0"/>
  </r>
  <r>
    <s v="ORD00185"/>
    <s v="2024-06-25"/>
    <s v="Karan Shah"/>
    <x v="1"/>
    <s v="Kolkata"/>
    <x v="4"/>
    <s v="Storage"/>
    <x v="23"/>
    <x v="9"/>
    <n v="2"/>
    <n v="13011.44"/>
    <n v="5"/>
    <n v="26022.880000000001"/>
    <n v="21589.39"/>
    <n v="4433.49"/>
    <x v="2"/>
    <x v="35"/>
    <x v="0"/>
    <x v="10"/>
    <x v="0"/>
  </r>
  <r>
    <s v="ORD00186"/>
    <s v="2025-01-12"/>
    <s v="Arjun Mehta"/>
    <x v="3"/>
    <s v="Bengaluru"/>
    <x v="3"/>
    <s v="Smartwatches"/>
    <x v="12"/>
    <x v="13"/>
    <n v="3"/>
    <n v="21990.25"/>
    <n v="15"/>
    <n v="65970.75"/>
    <n v="52796.31"/>
    <n v="13174.44"/>
    <x v="2"/>
    <x v="24"/>
    <x v="0"/>
    <x v="6"/>
    <x v="1"/>
  </r>
  <r>
    <s v="ORD00187"/>
    <s v="2024-08-31"/>
    <s v="Rohit Verma"/>
    <x v="5"/>
    <s v="Hyderabad"/>
    <x v="2"/>
    <s v="Skincare"/>
    <x v="10"/>
    <x v="2"/>
    <n v="3"/>
    <n v="1927.38"/>
    <n v="15"/>
    <n v="5782.14"/>
    <n v="4898"/>
    <n v="884.14"/>
    <x v="0"/>
    <x v="36"/>
    <x v="2"/>
    <x v="11"/>
    <x v="0"/>
  </r>
  <r>
    <s v="ORD00188"/>
    <s v="2024-12-02"/>
    <s v="Anjali Gupta"/>
    <x v="1"/>
    <s v="Kolkata"/>
    <x v="3"/>
    <s v="Smartwatches"/>
    <x v="18"/>
    <x v="14"/>
    <n v="3"/>
    <n v="21741.53"/>
    <n v="10"/>
    <n v="65224.59"/>
    <n v="50024.49"/>
    <n v="15200.1"/>
    <x v="3"/>
    <x v="0"/>
    <x v="0"/>
    <x v="1"/>
    <x v="0"/>
  </r>
  <r>
    <s v="ORD00189"/>
    <s v="2024-09-24"/>
    <s v="Arjun Mehta"/>
    <x v="4"/>
    <s v="Pune"/>
    <x v="1"/>
    <s v="General"/>
    <x v="6"/>
    <x v="1"/>
    <n v="1"/>
    <n v="23638.720000000001"/>
    <n v="15"/>
    <n v="23638.720000000001"/>
    <n v="18925.32"/>
    <n v="4713.3999999999996"/>
    <x v="4"/>
    <x v="39"/>
    <x v="0"/>
    <x v="0"/>
    <x v="0"/>
  </r>
  <r>
    <s v="ORD00190"/>
    <s v="2024-04-13"/>
    <s v="Priya Patel"/>
    <x v="0"/>
    <s v="New Delhi"/>
    <x v="2"/>
    <s v="Skincare"/>
    <x v="17"/>
    <x v="11"/>
    <n v="1"/>
    <n v="39372.11"/>
    <n v="10"/>
    <n v="39372.11"/>
    <n v="29939.54"/>
    <n v="9432.57"/>
    <x v="2"/>
    <x v="27"/>
    <x v="0"/>
    <x v="9"/>
    <x v="0"/>
  </r>
  <r>
    <s v="ORD00191"/>
    <s v="2024-03-06"/>
    <s v="Pooja Nair"/>
    <x v="1"/>
    <s v="Kolkata"/>
    <x v="0"/>
    <s v="Educational"/>
    <x v="21"/>
    <x v="7"/>
    <n v="4"/>
    <n v="49088.13"/>
    <n v="5"/>
    <n v="196352.52"/>
    <n v="160588.91"/>
    <n v="35763.61"/>
    <x v="2"/>
    <x v="10"/>
    <x v="0"/>
    <x v="7"/>
    <x v="0"/>
  </r>
  <r>
    <s v="ORD00192"/>
    <s v="2024-12-19"/>
    <s v="Amit Kumar"/>
    <x v="3"/>
    <s v="Bengaluru"/>
    <x v="4"/>
    <s v="Storage"/>
    <x v="4"/>
    <x v="4"/>
    <n v="3"/>
    <n v="4524.63"/>
    <n v="25"/>
    <n v="13573.89"/>
    <n v="10249.64"/>
    <n v="3324.25"/>
    <x v="1"/>
    <x v="7"/>
    <x v="0"/>
    <x v="1"/>
    <x v="0"/>
  </r>
  <r>
    <s v="ORD00193"/>
    <s v="2024-08-02"/>
    <s v="Neha Singh"/>
    <x v="2"/>
    <s v="Surat"/>
    <x v="1"/>
    <s v="General"/>
    <x v="6"/>
    <x v="1"/>
    <n v="3"/>
    <n v="1507.01"/>
    <n v="30"/>
    <n v="4521.03"/>
    <n v="3292.13"/>
    <n v="1228.9000000000001"/>
    <x v="5"/>
    <x v="15"/>
    <x v="0"/>
    <x v="11"/>
    <x v="0"/>
  </r>
  <r>
    <s v="ORD00194"/>
    <s v="2024-05-14"/>
    <s v="Karan Shah"/>
    <x v="6"/>
    <s v="Noida"/>
    <x v="3"/>
    <s v="Headphones"/>
    <x v="9"/>
    <x v="13"/>
    <n v="3"/>
    <n v="39699.85"/>
    <n v="20"/>
    <n v="119099.55"/>
    <n v="87819.47"/>
    <n v="31280.080000000002"/>
    <x v="2"/>
    <x v="1"/>
    <x v="0"/>
    <x v="2"/>
    <x v="0"/>
  </r>
  <r>
    <s v="ORD00195"/>
    <s v="2024-10-01"/>
    <s v="Anjali Gupta"/>
    <x v="4"/>
    <s v="Pune"/>
    <x v="2"/>
    <s v="Skincare"/>
    <x v="2"/>
    <x v="2"/>
    <n v="5"/>
    <n v="37494.129999999997"/>
    <n v="10"/>
    <n v="187470.65"/>
    <n v="133566.47"/>
    <n v="53904.18"/>
    <x v="3"/>
    <x v="31"/>
    <x v="0"/>
    <x v="4"/>
    <x v="0"/>
  </r>
  <r>
    <s v="ORD00196"/>
    <s v="2024-11-28"/>
    <s v="Priya Patel"/>
    <x v="4"/>
    <s v="Mumbai"/>
    <x v="3"/>
    <s v="Headphones"/>
    <x v="12"/>
    <x v="8"/>
    <n v="5"/>
    <n v="5850.81"/>
    <n v="20"/>
    <n v="29254.05"/>
    <n v="23186.38"/>
    <n v="6067.67"/>
    <x v="3"/>
    <x v="11"/>
    <x v="0"/>
    <x v="3"/>
    <x v="0"/>
  </r>
  <r>
    <s v="ORD00197"/>
    <s v="2024-09-04"/>
    <s v="Priya Patel"/>
    <x v="3"/>
    <s v="Bengaluru"/>
    <x v="0"/>
    <s v="Fiction"/>
    <x v="22"/>
    <x v="0"/>
    <n v="4"/>
    <n v="16448.740000000002"/>
    <n v="15"/>
    <n v="65794.960000000006"/>
    <n v="47817.95"/>
    <n v="17977.009999999998"/>
    <x v="5"/>
    <x v="33"/>
    <x v="0"/>
    <x v="0"/>
    <x v="0"/>
  </r>
  <r>
    <s v="ORD00198"/>
    <s v="2024-05-09"/>
    <s v="Pooja Nair"/>
    <x v="0"/>
    <s v="New Delhi"/>
    <x v="3"/>
    <s v="Laptops"/>
    <x v="3"/>
    <x v="8"/>
    <n v="1"/>
    <n v="11103.44"/>
    <n v="15"/>
    <n v="11103.44"/>
    <n v="7319.03"/>
    <n v="3784.41"/>
    <x v="2"/>
    <x v="19"/>
    <x v="0"/>
    <x v="2"/>
    <x v="0"/>
  </r>
  <r>
    <s v="ORD00199"/>
    <s v="2024-02-18"/>
    <s v="Pooja Nair"/>
    <x v="0"/>
    <s v="New Delhi"/>
    <x v="0"/>
    <s v="Educational"/>
    <x v="22"/>
    <x v="7"/>
    <n v="2"/>
    <n v="34255.39"/>
    <n v="15"/>
    <n v="68510.78"/>
    <n v="56712.99"/>
    <n v="11797.79"/>
    <x v="1"/>
    <x v="36"/>
    <x v="0"/>
    <x v="8"/>
    <x v="0"/>
  </r>
  <r>
    <s v="ORD00200"/>
    <s v="2024-09-30"/>
    <s v="Rohit Verma"/>
    <x v="4"/>
    <s v="Mumbai"/>
    <x v="3"/>
    <s v="Laptops"/>
    <x v="3"/>
    <x v="14"/>
    <n v="2"/>
    <n v="18304.18"/>
    <n v="10"/>
    <n v="36608.36"/>
    <n v="24168.83"/>
    <n v="12439.53"/>
    <x v="0"/>
    <x v="14"/>
    <x v="0"/>
    <x v="0"/>
    <x v="0"/>
  </r>
  <r>
    <s v="ORD00201"/>
    <s v="2024-07-11"/>
    <s v="Arjun Mehta"/>
    <x v="0"/>
    <s v="New Delhi"/>
    <x v="4"/>
    <s v="Cookware"/>
    <x v="7"/>
    <x v="4"/>
    <n v="2"/>
    <n v="12771.91"/>
    <n v="30"/>
    <n v="25543.82"/>
    <n v="19802.22"/>
    <n v="5741.6"/>
    <x v="2"/>
    <x v="3"/>
    <x v="0"/>
    <x v="5"/>
    <x v="0"/>
  </r>
  <r>
    <s v="ORD00202"/>
    <s v="2024-06-27"/>
    <s v="Rohit Verma"/>
    <x v="1"/>
    <s v="Kolkata"/>
    <x v="0"/>
    <s v="Educational"/>
    <x v="13"/>
    <x v="0"/>
    <n v="2"/>
    <n v="2275.09"/>
    <n v="30"/>
    <n v="4550.18"/>
    <n v="3692.91"/>
    <n v="857.27"/>
    <x v="0"/>
    <x v="39"/>
    <x v="0"/>
    <x v="10"/>
    <x v="0"/>
  </r>
  <r>
    <s v="ORD00203"/>
    <s v="2024-10-24"/>
    <s v="Rohit Verma"/>
    <x v="2"/>
    <s v="Ahmedabad"/>
    <x v="1"/>
    <s v="General"/>
    <x v="6"/>
    <x v="1"/>
    <n v="4"/>
    <n v="16468.59"/>
    <n v="5"/>
    <n v="65874.36"/>
    <n v="49606.38"/>
    <n v="16267.98"/>
    <x v="5"/>
    <x v="16"/>
    <x v="0"/>
    <x v="4"/>
    <x v="0"/>
  </r>
  <r>
    <s v="ORD00204"/>
    <s v="2024-10-16"/>
    <s v="Rohit Verma"/>
    <x v="0"/>
    <s v="New Delhi"/>
    <x v="4"/>
    <s v="Storage"/>
    <x v="4"/>
    <x v="4"/>
    <n v="3"/>
    <n v="4934.99"/>
    <n v="25"/>
    <n v="14804.97"/>
    <n v="9981.39"/>
    <n v="4823.58"/>
    <x v="4"/>
    <x v="33"/>
    <x v="2"/>
    <x v="4"/>
    <x v="0"/>
  </r>
  <r>
    <s v="ORD00205"/>
    <s v="2024-08-23"/>
    <s v="Neha Singh"/>
    <x v="5"/>
    <s v="Hyderabad"/>
    <x v="4"/>
    <s v="Storage"/>
    <x v="7"/>
    <x v="10"/>
    <n v="5"/>
    <n v="5258.29"/>
    <n v="20"/>
    <n v="26291.45"/>
    <n v="19770.759999999998"/>
    <n v="6520.69"/>
    <x v="2"/>
    <x v="15"/>
    <x v="0"/>
    <x v="11"/>
    <x v="0"/>
  </r>
  <r>
    <s v="ORD00206"/>
    <s v="2024-03-27"/>
    <s v="Priya Patel"/>
    <x v="4"/>
    <s v="Nagpur"/>
    <x v="2"/>
    <s v="Makeup"/>
    <x v="17"/>
    <x v="6"/>
    <n v="5"/>
    <n v="32580"/>
    <n v="15"/>
    <n v="162900"/>
    <n v="130218.46"/>
    <n v="32681.54"/>
    <x v="3"/>
    <x v="29"/>
    <x v="2"/>
    <x v="7"/>
    <x v="0"/>
  </r>
  <r>
    <s v="ORD00207"/>
    <s v="2024-06-17"/>
    <s v="Sneha Iyer"/>
    <x v="2"/>
    <s v="Ahmedabad"/>
    <x v="4"/>
    <s v="Storage"/>
    <x v="23"/>
    <x v="10"/>
    <n v="1"/>
    <n v="40298.9"/>
    <n v="20"/>
    <n v="40298.9"/>
    <n v="28080.82"/>
    <n v="12218.08"/>
    <x v="0"/>
    <x v="12"/>
    <x v="0"/>
    <x v="10"/>
    <x v="0"/>
  </r>
  <r>
    <s v="ORD00208"/>
    <s v="2024-11-02"/>
    <s v="Priya Patel"/>
    <x v="1"/>
    <s v="Kolkata"/>
    <x v="3"/>
    <s v="Smartwatches"/>
    <x v="9"/>
    <x v="3"/>
    <n v="3"/>
    <n v="11236.19"/>
    <n v="5"/>
    <n v="33708.57"/>
    <n v="26779.57"/>
    <n v="6929"/>
    <x v="3"/>
    <x v="8"/>
    <x v="0"/>
    <x v="3"/>
    <x v="0"/>
  </r>
  <r>
    <s v="ORD00209"/>
    <s v="2024-10-28"/>
    <s v="Pooja Nair"/>
    <x v="2"/>
    <s v="Ahmedabad"/>
    <x v="0"/>
    <s v="Fiction"/>
    <x v="22"/>
    <x v="7"/>
    <n v="5"/>
    <n v="32537.46"/>
    <n v="30"/>
    <n v="162687.29999999999"/>
    <n v="111578.94"/>
    <n v="51108.36"/>
    <x v="1"/>
    <x v="20"/>
    <x v="0"/>
    <x v="4"/>
    <x v="0"/>
  </r>
  <r>
    <s v="ORD00210"/>
    <s v="2024-05-14"/>
    <s v="Anjali Gupta"/>
    <x v="2"/>
    <s v="Surat"/>
    <x v="1"/>
    <s v="General"/>
    <x v="1"/>
    <x v="1"/>
    <n v="1"/>
    <n v="6953.88"/>
    <n v="5"/>
    <n v="6953.88"/>
    <n v="5825.02"/>
    <n v="1128.8599999999999"/>
    <x v="1"/>
    <x v="36"/>
    <x v="0"/>
    <x v="2"/>
    <x v="0"/>
  </r>
  <r>
    <s v="ORD00211"/>
    <s v="2024-09-02"/>
    <s v="Arjun Mehta"/>
    <x v="3"/>
    <s v="Bengaluru"/>
    <x v="4"/>
    <s v="Cookware"/>
    <x v="16"/>
    <x v="9"/>
    <n v="3"/>
    <n v="32824.050000000003"/>
    <n v="25"/>
    <n v="98472.15"/>
    <n v="79756.73"/>
    <n v="18715.419999999998"/>
    <x v="4"/>
    <x v="22"/>
    <x v="1"/>
    <x v="0"/>
    <x v="0"/>
  </r>
  <r>
    <s v="ORD00212"/>
    <s v="2024-10-05"/>
    <s v="Arjun Mehta"/>
    <x v="5"/>
    <s v="Hyderabad"/>
    <x v="1"/>
    <s v="General"/>
    <x v="6"/>
    <x v="1"/>
    <n v="3"/>
    <n v="34459.99"/>
    <n v="5"/>
    <n v="103379.97"/>
    <n v="70294.070000000007"/>
    <n v="33085.9"/>
    <x v="0"/>
    <x v="23"/>
    <x v="0"/>
    <x v="4"/>
    <x v="0"/>
  </r>
  <r>
    <s v="ORD00213"/>
    <s v="2024-04-05"/>
    <s v="Rohit Verma"/>
    <x v="0"/>
    <s v="New Delhi"/>
    <x v="0"/>
    <s v="Fiction"/>
    <x v="0"/>
    <x v="0"/>
    <n v="3"/>
    <n v="13608.58"/>
    <n v="10"/>
    <n v="40825.74"/>
    <n v="28865.01"/>
    <n v="11960.73"/>
    <x v="1"/>
    <x v="33"/>
    <x v="0"/>
    <x v="9"/>
    <x v="0"/>
  </r>
  <r>
    <s v="ORD00214"/>
    <s v="2024-12-22"/>
    <s v="Priya Patel"/>
    <x v="0"/>
    <s v="New Delhi"/>
    <x v="4"/>
    <s v="Storage"/>
    <x v="5"/>
    <x v="4"/>
    <n v="2"/>
    <n v="32630.83"/>
    <n v="30"/>
    <n v="65261.66"/>
    <n v="42484.73"/>
    <n v="22776.93"/>
    <x v="1"/>
    <x v="25"/>
    <x v="1"/>
    <x v="1"/>
    <x v="0"/>
  </r>
  <r>
    <s v="ORD00215"/>
    <s v="2024-11-14"/>
    <s v="Rohit Verma"/>
    <x v="6"/>
    <s v="Noida"/>
    <x v="3"/>
    <s v="Headphones"/>
    <x v="18"/>
    <x v="5"/>
    <n v="4"/>
    <n v="24818.77"/>
    <n v="15"/>
    <n v="99275.08"/>
    <n v="83754.73"/>
    <n v="15520.35"/>
    <x v="0"/>
    <x v="10"/>
    <x v="0"/>
    <x v="3"/>
    <x v="0"/>
  </r>
  <r>
    <s v="ORD00216"/>
    <s v="2024-12-26"/>
    <s v="Karan Shah"/>
    <x v="1"/>
    <s v="Kolkata"/>
    <x v="0"/>
    <s v="Educational"/>
    <x v="14"/>
    <x v="0"/>
    <n v="3"/>
    <n v="36645.35"/>
    <n v="20"/>
    <n v="109936.05"/>
    <n v="92177.16"/>
    <n v="17758.89"/>
    <x v="0"/>
    <x v="15"/>
    <x v="2"/>
    <x v="1"/>
    <x v="0"/>
  </r>
  <r>
    <s v="ORD00217"/>
    <s v="2024-06-08"/>
    <s v="Rohit Verma"/>
    <x v="3"/>
    <s v="Mysuru"/>
    <x v="1"/>
    <s v="General"/>
    <x v="1"/>
    <x v="1"/>
    <n v="3"/>
    <n v="25668.959999999999"/>
    <n v="5"/>
    <n v="77006.880000000005"/>
    <n v="63595.24"/>
    <n v="13411.64"/>
    <x v="0"/>
    <x v="38"/>
    <x v="0"/>
    <x v="10"/>
    <x v="0"/>
  </r>
  <r>
    <s v="ORD00218"/>
    <s v="2024-09-18"/>
    <s v="Anjali Gupta"/>
    <x v="3"/>
    <s v="Mysuru"/>
    <x v="1"/>
    <s v="General"/>
    <x v="24"/>
    <x v="1"/>
    <n v="4"/>
    <n v="44241.68"/>
    <n v="25"/>
    <n v="176966.72"/>
    <n v="138252.31"/>
    <n v="38714.410000000003"/>
    <x v="3"/>
    <x v="23"/>
    <x v="2"/>
    <x v="0"/>
    <x v="0"/>
  </r>
  <r>
    <s v="ORD00219"/>
    <s v="2024-07-19"/>
    <s v="Priya Patel"/>
    <x v="0"/>
    <s v="New Delhi"/>
    <x v="3"/>
    <s v="Smartphones"/>
    <x v="20"/>
    <x v="5"/>
    <n v="1"/>
    <n v="39749.19"/>
    <n v="30"/>
    <n v="39749.19"/>
    <n v="33409.26"/>
    <n v="6339.93"/>
    <x v="3"/>
    <x v="0"/>
    <x v="0"/>
    <x v="5"/>
    <x v="0"/>
  </r>
  <r>
    <s v="ORD00220"/>
    <s v="2024-06-08"/>
    <s v="Karan Shah"/>
    <x v="3"/>
    <s v="Mysuru"/>
    <x v="3"/>
    <s v="Headphones"/>
    <x v="9"/>
    <x v="3"/>
    <n v="2"/>
    <n v="37578.46"/>
    <n v="30"/>
    <n v="75156.92"/>
    <n v="62581.45"/>
    <n v="12575.47"/>
    <x v="5"/>
    <x v="2"/>
    <x v="2"/>
    <x v="10"/>
    <x v="0"/>
  </r>
  <r>
    <s v="ORD00221"/>
    <s v="2024-05-14"/>
    <s v="Karan Shah"/>
    <x v="3"/>
    <s v="Mysuru"/>
    <x v="3"/>
    <s v="Laptops"/>
    <x v="12"/>
    <x v="14"/>
    <n v="4"/>
    <n v="37203.65"/>
    <n v="20"/>
    <n v="148814.6"/>
    <n v="99132.82"/>
    <n v="49681.78"/>
    <x v="2"/>
    <x v="0"/>
    <x v="0"/>
    <x v="2"/>
    <x v="0"/>
  </r>
  <r>
    <s v="ORD00222"/>
    <s v="2024-05-14"/>
    <s v="Anjali Gupta"/>
    <x v="4"/>
    <s v="Mumbai"/>
    <x v="0"/>
    <s v="Fiction"/>
    <x v="22"/>
    <x v="7"/>
    <n v="1"/>
    <n v="22851.63"/>
    <n v="25"/>
    <n v="22851.63"/>
    <n v="17677.14"/>
    <n v="5174.49"/>
    <x v="2"/>
    <x v="34"/>
    <x v="0"/>
    <x v="2"/>
    <x v="0"/>
  </r>
  <r>
    <s v="ORD00223"/>
    <s v="2024-03-30"/>
    <s v="Karan Shah"/>
    <x v="1"/>
    <s v="Kolkata"/>
    <x v="2"/>
    <s v="Makeup"/>
    <x v="17"/>
    <x v="6"/>
    <n v="4"/>
    <n v="27627.84"/>
    <n v="10"/>
    <n v="110511.36"/>
    <n v="92354.78"/>
    <n v="18156.580000000002"/>
    <x v="1"/>
    <x v="31"/>
    <x v="0"/>
    <x v="7"/>
    <x v="0"/>
  </r>
  <r>
    <s v="ORD00224"/>
    <s v="2024-08-21"/>
    <s v="Neha Singh"/>
    <x v="1"/>
    <s v="Kolkata"/>
    <x v="0"/>
    <s v="Educational"/>
    <x v="22"/>
    <x v="0"/>
    <n v="3"/>
    <n v="31333.95"/>
    <n v="25"/>
    <n v="94001.85"/>
    <n v="67805.13"/>
    <n v="26196.720000000001"/>
    <x v="0"/>
    <x v="5"/>
    <x v="0"/>
    <x v="11"/>
    <x v="0"/>
  </r>
  <r>
    <s v="ORD00225"/>
    <s v="2024-04-06"/>
    <s v="Arjun Mehta"/>
    <x v="4"/>
    <s v="Pune"/>
    <x v="4"/>
    <s v="Storage"/>
    <x v="16"/>
    <x v="9"/>
    <n v="5"/>
    <n v="30911.439999999999"/>
    <n v="30"/>
    <n v="154557.20000000001"/>
    <n v="123112.89"/>
    <n v="31444.31"/>
    <x v="0"/>
    <x v="32"/>
    <x v="0"/>
    <x v="9"/>
    <x v="0"/>
  </r>
  <r>
    <s v="ORD00226"/>
    <s v="2025-01-30"/>
    <s v="Arjun Mehta"/>
    <x v="3"/>
    <s v="Bengaluru"/>
    <x v="3"/>
    <s v="Headphones"/>
    <x v="18"/>
    <x v="8"/>
    <n v="1"/>
    <n v="11518.23"/>
    <n v="15"/>
    <n v="11518.23"/>
    <n v="9511.4699999999993"/>
    <n v="2006.76"/>
    <x v="0"/>
    <x v="2"/>
    <x v="0"/>
    <x v="6"/>
    <x v="1"/>
  </r>
  <r>
    <s v="ORD00227"/>
    <s v="2024-12-28"/>
    <s v="Sneha Iyer"/>
    <x v="1"/>
    <s v="Kolkata"/>
    <x v="1"/>
    <s v="General"/>
    <x v="1"/>
    <x v="1"/>
    <n v="5"/>
    <n v="43304.55"/>
    <n v="30"/>
    <n v="216522.75"/>
    <n v="155903.18"/>
    <n v="60619.57"/>
    <x v="1"/>
    <x v="8"/>
    <x v="0"/>
    <x v="1"/>
    <x v="0"/>
  </r>
  <r>
    <s v="ORD00228"/>
    <s v="2024-02-20"/>
    <s v="Rahul Sharma"/>
    <x v="0"/>
    <s v="New Delhi"/>
    <x v="0"/>
    <s v="Educational"/>
    <x v="22"/>
    <x v="7"/>
    <n v="3"/>
    <n v="3710.07"/>
    <n v="30"/>
    <n v="11130.21"/>
    <n v="8678.52"/>
    <n v="2451.69"/>
    <x v="4"/>
    <x v="24"/>
    <x v="0"/>
    <x v="8"/>
    <x v="0"/>
  </r>
  <r>
    <s v="ORD00229"/>
    <s v="2025-01-06"/>
    <s v="Priya Patel"/>
    <x v="5"/>
    <s v="Hyderabad"/>
    <x v="2"/>
    <s v="Makeup"/>
    <x v="10"/>
    <x v="11"/>
    <n v="2"/>
    <n v="34621.21"/>
    <n v="30"/>
    <n v="69242.42"/>
    <n v="45898.54"/>
    <n v="23343.88"/>
    <x v="2"/>
    <x v="31"/>
    <x v="0"/>
    <x v="6"/>
    <x v="1"/>
  </r>
  <r>
    <s v="ORD00230"/>
    <s v="2024-07-15"/>
    <s v="Rohit Verma"/>
    <x v="2"/>
    <s v="Ahmedabad"/>
    <x v="3"/>
    <s v="Smartphones"/>
    <x v="20"/>
    <x v="14"/>
    <n v="5"/>
    <n v="41742.29"/>
    <n v="10"/>
    <n v="208711.45"/>
    <n v="162861.37"/>
    <n v="45850.080000000002"/>
    <x v="3"/>
    <x v="8"/>
    <x v="0"/>
    <x v="5"/>
    <x v="0"/>
  </r>
  <r>
    <s v="ORD00231"/>
    <s v="2024-11-02"/>
    <s v="Neha Singh"/>
    <x v="1"/>
    <s v="Kolkata"/>
    <x v="4"/>
    <s v="Storage"/>
    <x v="16"/>
    <x v="10"/>
    <n v="1"/>
    <n v="46858.63"/>
    <n v="10"/>
    <n v="46858.63"/>
    <n v="33398.06"/>
    <n v="13460.57"/>
    <x v="0"/>
    <x v="0"/>
    <x v="0"/>
    <x v="3"/>
    <x v="0"/>
  </r>
  <r>
    <s v="ORD00232"/>
    <s v="2024-05-20"/>
    <s v="Rahul Sharma"/>
    <x v="5"/>
    <s v="Hyderabad"/>
    <x v="3"/>
    <s v="Smartwatches"/>
    <x v="3"/>
    <x v="3"/>
    <n v="1"/>
    <n v="5413.09"/>
    <n v="5"/>
    <n v="5413.09"/>
    <n v="3850.43"/>
    <n v="1562.66"/>
    <x v="1"/>
    <x v="20"/>
    <x v="0"/>
    <x v="2"/>
    <x v="0"/>
  </r>
  <r>
    <s v="ORD00233"/>
    <s v="2024-09-09"/>
    <s v="Sneha Iyer"/>
    <x v="6"/>
    <s v="Lucknow"/>
    <x v="3"/>
    <s v="Headphones"/>
    <x v="18"/>
    <x v="12"/>
    <n v="1"/>
    <n v="5880.45"/>
    <n v="5"/>
    <n v="5880.45"/>
    <n v="4765.1000000000004"/>
    <n v="1115.3499999999999"/>
    <x v="5"/>
    <x v="6"/>
    <x v="0"/>
    <x v="0"/>
    <x v="0"/>
  </r>
  <r>
    <s v="ORD00234"/>
    <s v="2024-03-30"/>
    <s v="Karan Shah"/>
    <x v="3"/>
    <s v="Bengaluru"/>
    <x v="0"/>
    <s v="Educational"/>
    <x v="13"/>
    <x v="0"/>
    <n v="3"/>
    <n v="35665.26"/>
    <n v="5"/>
    <n v="106995.78"/>
    <n v="74563.44"/>
    <n v="32432.34"/>
    <x v="2"/>
    <x v="12"/>
    <x v="0"/>
    <x v="7"/>
    <x v="0"/>
  </r>
  <r>
    <s v="ORD00235"/>
    <s v="2025-01-02"/>
    <s v="Karan Shah"/>
    <x v="4"/>
    <s v="Mumbai"/>
    <x v="3"/>
    <s v="Headphones"/>
    <x v="20"/>
    <x v="12"/>
    <n v="5"/>
    <n v="42981.89"/>
    <n v="20"/>
    <n v="214909.45"/>
    <n v="164263.01"/>
    <n v="50646.44"/>
    <x v="4"/>
    <x v="31"/>
    <x v="0"/>
    <x v="6"/>
    <x v="1"/>
  </r>
  <r>
    <s v="ORD00236"/>
    <s v="2024-09-03"/>
    <s v="Neha Singh"/>
    <x v="1"/>
    <s v="Kolkata"/>
    <x v="0"/>
    <s v="Fiction"/>
    <x v="13"/>
    <x v="7"/>
    <n v="3"/>
    <n v="25629.88"/>
    <n v="15"/>
    <n v="76889.64"/>
    <n v="56573.86"/>
    <n v="20315.78"/>
    <x v="0"/>
    <x v="36"/>
    <x v="0"/>
    <x v="0"/>
    <x v="0"/>
  </r>
  <r>
    <s v="ORD00237"/>
    <s v="2024-02-13"/>
    <s v="Rohit Verma"/>
    <x v="6"/>
    <s v="Lucknow"/>
    <x v="2"/>
    <s v="Skincare"/>
    <x v="10"/>
    <x v="11"/>
    <n v="4"/>
    <n v="22475.94"/>
    <n v="30"/>
    <n v="89903.76"/>
    <n v="66867.45"/>
    <n v="23036.31"/>
    <x v="0"/>
    <x v="0"/>
    <x v="0"/>
    <x v="8"/>
    <x v="0"/>
  </r>
  <r>
    <s v="ORD00238"/>
    <s v="2024-10-19"/>
    <s v="Rahul Sharma"/>
    <x v="1"/>
    <s v="Kolkata"/>
    <x v="4"/>
    <s v="Cookware"/>
    <x v="23"/>
    <x v="10"/>
    <n v="5"/>
    <n v="33250.699999999997"/>
    <n v="20"/>
    <n v="166253.5"/>
    <n v="138998.41"/>
    <n v="27255.09"/>
    <x v="2"/>
    <x v="17"/>
    <x v="0"/>
    <x v="4"/>
    <x v="0"/>
  </r>
  <r>
    <s v="ORD00239"/>
    <s v="2025-01-02"/>
    <s v="Karan Shah"/>
    <x v="4"/>
    <s v="Pune"/>
    <x v="0"/>
    <s v="Educational"/>
    <x v="14"/>
    <x v="7"/>
    <n v="5"/>
    <n v="45045.03"/>
    <n v="25"/>
    <n v="225225.15"/>
    <n v="188096.95"/>
    <n v="37128.199999999997"/>
    <x v="5"/>
    <x v="28"/>
    <x v="0"/>
    <x v="6"/>
    <x v="1"/>
  </r>
  <r>
    <s v="ORD00240"/>
    <s v="2024-06-18"/>
    <s v="Amit Kumar"/>
    <x v="1"/>
    <s v="Kolkata"/>
    <x v="4"/>
    <s v="Cookware"/>
    <x v="16"/>
    <x v="10"/>
    <n v="5"/>
    <n v="3955.86"/>
    <n v="15"/>
    <n v="19779.3"/>
    <n v="13759.79"/>
    <n v="6019.51"/>
    <x v="5"/>
    <x v="25"/>
    <x v="0"/>
    <x v="10"/>
    <x v="0"/>
  </r>
  <r>
    <s v="ORD00241"/>
    <s v="2024-05-04"/>
    <s v="Neha Singh"/>
    <x v="7"/>
    <s v="Coimbatore"/>
    <x v="2"/>
    <s v="Makeup"/>
    <x v="10"/>
    <x v="2"/>
    <n v="5"/>
    <n v="28169.11"/>
    <n v="10"/>
    <n v="140845.54999999999"/>
    <n v="109444.65"/>
    <n v="31400.9"/>
    <x v="1"/>
    <x v="29"/>
    <x v="0"/>
    <x v="2"/>
    <x v="0"/>
  </r>
  <r>
    <s v="ORD00242"/>
    <s v="2024-11-13"/>
    <s v="Rahul Sharma"/>
    <x v="3"/>
    <s v="Mysuru"/>
    <x v="2"/>
    <s v="Makeup"/>
    <x v="2"/>
    <x v="6"/>
    <n v="4"/>
    <n v="42785.51"/>
    <n v="5"/>
    <n v="171142.04"/>
    <n v="121875.49"/>
    <n v="49266.55"/>
    <x v="3"/>
    <x v="5"/>
    <x v="0"/>
    <x v="3"/>
    <x v="0"/>
  </r>
  <r>
    <s v="ORD00243"/>
    <s v="2024-08-12"/>
    <s v="Anjali Gupta"/>
    <x v="3"/>
    <s v="Bengaluru"/>
    <x v="3"/>
    <s v="Smartphones"/>
    <x v="12"/>
    <x v="3"/>
    <n v="2"/>
    <n v="25614.35"/>
    <n v="15"/>
    <n v="51228.7"/>
    <n v="33891.480000000003"/>
    <n v="17337.22"/>
    <x v="2"/>
    <x v="0"/>
    <x v="0"/>
    <x v="11"/>
    <x v="0"/>
  </r>
  <r>
    <s v="ORD00244"/>
    <s v="2024-08-17"/>
    <s v="Sneha Iyer"/>
    <x v="7"/>
    <s v="Coimbatore"/>
    <x v="4"/>
    <s v="Storage"/>
    <x v="5"/>
    <x v="9"/>
    <n v="5"/>
    <n v="7771.58"/>
    <n v="20"/>
    <n v="38857.9"/>
    <n v="28705.64"/>
    <n v="10152.26"/>
    <x v="0"/>
    <x v="22"/>
    <x v="0"/>
    <x v="11"/>
    <x v="0"/>
  </r>
  <r>
    <s v="ORD00245"/>
    <s v="2024-05-15"/>
    <s v="Priya Patel"/>
    <x v="2"/>
    <s v="Surat"/>
    <x v="0"/>
    <s v="Educational"/>
    <x v="14"/>
    <x v="0"/>
    <n v="3"/>
    <n v="31059.47"/>
    <n v="30"/>
    <n v="93178.41"/>
    <n v="70618.06"/>
    <n v="22560.35"/>
    <x v="2"/>
    <x v="38"/>
    <x v="0"/>
    <x v="2"/>
    <x v="0"/>
  </r>
  <r>
    <s v="ORD00246"/>
    <s v="2024-06-16"/>
    <s v="Rahul Sharma"/>
    <x v="3"/>
    <s v="Bengaluru"/>
    <x v="0"/>
    <s v="Educational"/>
    <x v="0"/>
    <x v="0"/>
    <n v="5"/>
    <n v="14506.11"/>
    <n v="15"/>
    <n v="72530.55"/>
    <n v="50185.14"/>
    <n v="22345.41"/>
    <x v="0"/>
    <x v="0"/>
    <x v="0"/>
    <x v="10"/>
    <x v="0"/>
  </r>
  <r>
    <s v="ORD00247"/>
    <s v="2024-06-15"/>
    <s v="Priya Patel"/>
    <x v="2"/>
    <s v="Surat"/>
    <x v="3"/>
    <s v="Laptops"/>
    <x v="3"/>
    <x v="5"/>
    <n v="3"/>
    <n v="16272.38"/>
    <n v="10"/>
    <n v="48817.14"/>
    <n v="34072.9"/>
    <n v="14744.24"/>
    <x v="0"/>
    <x v="23"/>
    <x v="2"/>
    <x v="10"/>
    <x v="0"/>
  </r>
  <r>
    <s v="ORD00248"/>
    <s v="2024-10-16"/>
    <s v="Arjun Mehta"/>
    <x v="2"/>
    <s v="Ahmedabad"/>
    <x v="1"/>
    <s v="General"/>
    <x v="15"/>
    <x v="1"/>
    <n v="3"/>
    <n v="29222.92"/>
    <n v="5"/>
    <n v="87668.76"/>
    <n v="58779.83"/>
    <n v="28888.93"/>
    <x v="0"/>
    <x v="29"/>
    <x v="0"/>
    <x v="4"/>
    <x v="0"/>
  </r>
  <r>
    <s v="ORD00249"/>
    <s v="2024-11-04"/>
    <s v="Amit Kumar"/>
    <x v="7"/>
    <s v="Chennai"/>
    <x v="0"/>
    <s v="Fiction"/>
    <x v="0"/>
    <x v="0"/>
    <n v="5"/>
    <n v="1483.5"/>
    <n v="5"/>
    <n v="7417.5"/>
    <n v="6067.14"/>
    <n v="1350.36"/>
    <x v="0"/>
    <x v="17"/>
    <x v="0"/>
    <x v="3"/>
    <x v="0"/>
  </r>
  <r>
    <s v="ORD00250"/>
    <s v="2025-02-01"/>
    <s v="Amit Kumar"/>
    <x v="5"/>
    <s v="Hyderabad"/>
    <x v="0"/>
    <s v="Educational"/>
    <x v="22"/>
    <x v="0"/>
    <n v="2"/>
    <n v="35629.550000000003"/>
    <n v="10"/>
    <n v="71259.100000000006"/>
    <n v="49205.68"/>
    <n v="22053.42"/>
    <x v="2"/>
    <x v="6"/>
    <x v="0"/>
    <x v="8"/>
    <x v="1"/>
  </r>
  <r>
    <s v="ORD00251"/>
    <s v="2024-02-23"/>
    <s v="Pooja Nair"/>
    <x v="0"/>
    <s v="New Delhi"/>
    <x v="1"/>
    <s v="General"/>
    <x v="8"/>
    <x v="1"/>
    <n v="4"/>
    <n v="1987.98"/>
    <n v="25"/>
    <n v="7951.92"/>
    <n v="6350.81"/>
    <n v="1601.11"/>
    <x v="1"/>
    <x v="26"/>
    <x v="0"/>
    <x v="8"/>
    <x v="0"/>
  </r>
  <r>
    <s v="ORD00252"/>
    <s v="2024-03-28"/>
    <s v="Neha Singh"/>
    <x v="2"/>
    <s v="Ahmedabad"/>
    <x v="0"/>
    <s v="Educational"/>
    <x v="0"/>
    <x v="7"/>
    <n v="4"/>
    <n v="37590.44"/>
    <n v="30"/>
    <n v="150361.76"/>
    <n v="100052"/>
    <n v="50309.760000000002"/>
    <x v="2"/>
    <x v="31"/>
    <x v="0"/>
    <x v="7"/>
    <x v="0"/>
  </r>
  <r>
    <s v="ORD00253"/>
    <s v="2024-12-11"/>
    <s v="Rahul Sharma"/>
    <x v="1"/>
    <s v="Kolkata"/>
    <x v="4"/>
    <s v="Storage"/>
    <x v="5"/>
    <x v="9"/>
    <n v="4"/>
    <n v="31759.49"/>
    <n v="10"/>
    <n v="127037.96"/>
    <n v="94742.24"/>
    <n v="32295.72"/>
    <x v="1"/>
    <x v="6"/>
    <x v="0"/>
    <x v="1"/>
    <x v="0"/>
  </r>
  <r>
    <s v="ORD00254"/>
    <s v="2025-01-27"/>
    <s v="Priya Patel"/>
    <x v="5"/>
    <s v="Hyderabad"/>
    <x v="2"/>
    <s v="Makeup"/>
    <x v="19"/>
    <x v="6"/>
    <n v="4"/>
    <n v="18787.05"/>
    <n v="15"/>
    <n v="75148.2"/>
    <n v="53325.83"/>
    <n v="21822.37"/>
    <x v="4"/>
    <x v="19"/>
    <x v="0"/>
    <x v="6"/>
    <x v="1"/>
  </r>
  <r>
    <s v="ORD00255"/>
    <s v="2024-09-15"/>
    <s v="Sneha Iyer"/>
    <x v="4"/>
    <s v="Pune"/>
    <x v="0"/>
    <s v="Fiction"/>
    <x v="0"/>
    <x v="0"/>
    <n v="1"/>
    <n v="17066.16"/>
    <n v="20"/>
    <n v="17066.16"/>
    <n v="12145.34"/>
    <n v="4920.82"/>
    <x v="2"/>
    <x v="18"/>
    <x v="0"/>
    <x v="0"/>
    <x v="0"/>
  </r>
  <r>
    <s v="ORD00256"/>
    <s v="2024-03-23"/>
    <s v="Rohit Verma"/>
    <x v="6"/>
    <s v="Lucknow"/>
    <x v="1"/>
    <s v="General"/>
    <x v="8"/>
    <x v="1"/>
    <n v="4"/>
    <n v="15068.72"/>
    <n v="20"/>
    <n v="60274.879999999997"/>
    <n v="45014.59"/>
    <n v="15260.29"/>
    <x v="0"/>
    <x v="23"/>
    <x v="0"/>
    <x v="7"/>
    <x v="0"/>
  </r>
  <r>
    <s v="ORD00257"/>
    <s v="2024-02-24"/>
    <s v="Rahul Sharma"/>
    <x v="7"/>
    <s v="Coimbatore"/>
    <x v="3"/>
    <s v="Laptops"/>
    <x v="12"/>
    <x v="12"/>
    <n v="3"/>
    <n v="44334.11"/>
    <n v="30"/>
    <n v="133002.32999999999"/>
    <n v="102892.59"/>
    <n v="30109.74"/>
    <x v="2"/>
    <x v="8"/>
    <x v="0"/>
    <x v="8"/>
    <x v="0"/>
  </r>
  <r>
    <s v="ORD00258"/>
    <s v="2024-11-15"/>
    <s v="Karan Shah"/>
    <x v="5"/>
    <s v="Hyderabad"/>
    <x v="3"/>
    <s v="Smartwatches"/>
    <x v="12"/>
    <x v="12"/>
    <n v="1"/>
    <n v="11183.75"/>
    <n v="15"/>
    <n v="11183.75"/>
    <n v="9377.86"/>
    <n v="1805.89"/>
    <x v="4"/>
    <x v="35"/>
    <x v="0"/>
    <x v="3"/>
    <x v="0"/>
  </r>
  <r>
    <s v="ORD00259"/>
    <s v="2024-08-16"/>
    <s v="Amit Kumar"/>
    <x v="6"/>
    <s v="Noida"/>
    <x v="4"/>
    <s v="Storage"/>
    <x v="4"/>
    <x v="10"/>
    <n v="5"/>
    <n v="2923.95"/>
    <n v="10"/>
    <n v="14619.75"/>
    <n v="11268.14"/>
    <n v="3351.61"/>
    <x v="5"/>
    <x v="19"/>
    <x v="0"/>
    <x v="11"/>
    <x v="0"/>
  </r>
  <r>
    <s v="ORD00260"/>
    <s v="2024-11-29"/>
    <s v="Rohit Verma"/>
    <x v="5"/>
    <s v="Hyderabad"/>
    <x v="2"/>
    <s v="Skincare"/>
    <x v="19"/>
    <x v="6"/>
    <n v="2"/>
    <n v="7339.66"/>
    <n v="10"/>
    <n v="14679.32"/>
    <n v="9938.08"/>
    <n v="4741.24"/>
    <x v="5"/>
    <x v="19"/>
    <x v="0"/>
    <x v="3"/>
    <x v="0"/>
  </r>
  <r>
    <s v="ORD00261"/>
    <s v="2024-10-06"/>
    <s v="Rohit Verma"/>
    <x v="6"/>
    <s v="Noida"/>
    <x v="4"/>
    <s v="Cookware"/>
    <x v="7"/>
    <x v="10"/>
    <n v="2"/>
    <n v="41405.370000000003"/>
    <n v="15"/>
    <n v="82810.740000000005"/>
    <n v="63228.73"/>
    <n v="19582.009999999998"/>
    <x v="2"/>
    <x v="33"/>
    <x v="0"/>
    <x v="4"/>
    <x v="0"/>
  </r>
  <r>
    <s v="ORD00262"/>
    <s v="2024-09-01"/>
    <s v="Anjali Gupta"/>
    <x v="3"/>
    <s v="Bengaluru"/>
    <x v="4"/>
    <s v="Storage"/>
    <x v="5"/>
    <x v="9"/>
    <n v="1"/>
    <n v="36114.379999999997"/>
    <n v="25"/>
    <n v="36114.379999999997"/>
    <n v="25646.880000000001"/>
    <n v="10467.5"/>
    <x v="5"/>
    <x v="33"/>
    <x v="0"/>
    <x v="0"/>
    <x v="0"/>
  </r>
  <r>
    <s v="ORD00263"/>
    <s v="2024-09-06"/>
    <s v="Amit Kumar"/>
    <x v="3"/>
    <s v="Mysuru"/>
    <x v="3"/>
    <s v="Smartwatches"/>
    <x v="12"/>
    <x v="3"/>
    <n v="5"/>
    <n v="19915.59"/>
    <n v="20"/>
    <n v="99577.95"/>
    <n v="66200.91"/>
    <n v="33377.040000000001"/>
    <x v="3"/>
    <x v="12"/>
    <x v="0"/>
    <x v="0"/>
    <x v="0"/>
  </r>
  <r>
    <s v="ORD00264"/>
    <s v="2024-05-22"/>
    <s v="Sneha Iyer"/>
    <x v="7"/>
    <s v="Chennai"/>
    <x v="3"/>
    <s v="Smartwatches"/>
    <x v="12"/>
    <x v="3"/>
    <n v="4"/>
    <n v="18366.97"/>
    <n v="5"/>
    <n v="73467.88"/>
    <n v="56538.39"/>
    <n v="16929.490000000002"/>
    <x v="3"/>
    <x v="12"/>
    <x v="0"/>
    <x v="2"/>
    <x v="0"/>
  </r>
  <r>
    <s v="ORD00265"/>
    <s v="2024-03-03"/>
    <s v="Rahul Sharma"/>
    <x v="3"/>
    <s v="Mysuru"/>
    <x v="3"/>
    <s v="Laptops"/>
    <x v="12"/>
    <x v="14"/>
    <n v="2"/>
    <n v="8563.14"/>
    <n v="25"/>
    <n v="17126.28"/>
    <n v="11216.49"/>
    <n v="5909.79"/>
    <x v="3"/>
    <x v="4"/>
    <x v="0"/>
    <x v="7"/>
    <x v="0"/>
  </r>
  <r>
    <s v="ORD00266"/>
    <s v="2024-05-19"/>
    <s v="Rohit Verma"/>
    <x v="0"/>
    <s v="New Delhi"/>
    <x v="2"/>
    <s v="Skincare"/>
    <x v="17"/>
    <x v="2"/>
    <n v="1"/>
    <n v="40461.79"/>
    <n v="15"/>
    <n v="40461.79"/>
    <n v="27326.1"/>
    <n v="13135.69"/>
    <x v="4"/>
    <x v="35"/>
    <x v="0"/>
    <x v="2"/>
    <x v="0"/>
  </r>
  <r>
    <s v="ORD00267"/>
    <s v="2024-07-16"/>
    <s v="Sneha Iyer"/>
    <x v="0"/>
    <s v="New Delhi"/>
    <x v="1"/>
    <s v="General"/>
    <x v="8"/>
    <x v="1"/>
    <n v="5"/>
    <n v="6943.4"/>
    <n v="5"/>
    <n v="34717"/>
    <n v="27886.35"/>
    <n v="6830.65"/>
    <x v="0"/>
    <x v="39"/>
    <x v="0"/>
    <x v="5"/>
    <x v="0"/>
  </r>
  <r>
    <s v="ORD00268"/>
    <s v="2024-05-19"/>
    <s v="Sneha Iyer"/>
    <x v="1"/>
    <s v="Kolkata"/>
    <x v="2"/>
    <s v="Skincare"/>
    <x v="19"/>
    <x v="6"/>
    <n v="1"/>
    <n v="14517.08"/>
    <n v="25"/>
    <n v="14517.08"/>
    <n v="12182.36"/>
    <n v="2334.7199999999998"/>
    <x v="1"/>
    <x v="32"/>
    <x v="0"/>
    <x v="2"/>
    <x v="0"/>
  </r>
  <r>
    <s v="ORD00269"/>
    <s v="2024-07-19"/>
    <s v="Rahul Sharma"/>
    <x v="5"/>
    <s v="Hyderabad"/>
    <x v="3"/>
    <s v="Laptops"/>
    <x v="9"/>
    <x v="12"/>
    <n v="5"/>
    <n v="4248.25"/>
    <n v="20"/>
    <n v="21241.25"/>
    <n v="16267.54"/>
    <n v="4973.71"/>
    <x v="2"/>
    <x v="27"/>
    <x v="2"/>
    <x v="5"/>
    <x v="0"/>
  </r>
  <r>
    <s v="ORD00270"/>
    <s v="2024-12-12"/>
    <s v="Amit Kumar"/>
    <x v="2"/>
    <s v="Surat"/>
    <x v="4"/>
    <s v="Cookware"/>
    <x v="5"/>
    <x v="10"/>
    <n v="5"/>
    <n v="43118.73"/>
    <n v="10"/>
    <n v="215593.65"/>
    <n v="150477.26"/>
    <n v="65116.39"/>
    <x v="0"/>
    <x v="4"/>
    <x v="0"/>
    <x v="1"/>
    <x v="0"/>
  </r>
  <r>
    <s v="ORD00271"/>
    <s v="2024-03-26"/>
    <s v="Pooja Nair"/>
    <x v="0"/>
    <s v="New Delhi"/>
    <x v="1"/>
    <s v="General"/>
    <x v="24"/>
    <x v="1"/>
    <n v="2"/>
    <n v="10086.76"/>
    <n v="5"/>
    <n v="20173.52"/>
    <n v="16578.060000000001"/>
    <n v="3595.46"/>
    <x v="2"/>
    <x v="30"/>
    <x v="0"/>
    <x v="7"/>
    <x v="0"/>
  </r>
  <r>
    <s v="ORD00272"/>
    <s v="2024-08-09"/>
    <s v="Rohit Verma"/>
    <x v="3"/>
    <s v="Bengaluru"/>
    <x v="2"/>
    <s v="Makeup"/>
    <x v="2"/>
    <x v="6"/>
    <n v="4"/>
    <n v="35373.5"/>
    <n v="15"/>
    <n v="141494"/>
    <n v="101791.61"/>
    <n v="39702.39"/>
    <x v="4"/>
    <x v="36"/>
    <x v="0"/>
    <x v="11"/>
    <x v="0"/>
  </r>
  <r>
    <s v="ORD00273"/>
    <s v="2024-04-05"/>
    <s v="Amit Kumar"/>
    <x v="0"/>
    <s v="New Delhi"/>
    <x v="4"/>
    <s v="Storage"/>
    <x v="7"/>
    <x v="4"/>
    <n v="3"/>
    <n v="43002.68"/>
    <n v="15"/>
    <n v="129008.04"/>
    <n v="90702.69"/>
    <n v="38305.35"/>
    <x v="1"/>
    <x v="24"/>
    <x v="0"/>
    <x v="9"/>
    <x v="0"/>
  </r>
  <r>
    <s v="ORD00274"/>
    <s v="2024-02-21"/>
    <s v="Anjali Gupta"/>
    <x v="1"/>
    <s v="Kolkata"/>
    <x v="3"/>
    <s v="Laptops"/>
    <x v="18"/>
    <x v="13"/>
    <n v="1"/>
    <n v="46388.81"/>
    <n v="10"/>
    <n v="46388.81"/>
    <n v="38834.83"/>
    <n v="7553.98"/>
    <x v="3"/>
    <x v="2"/>
    <x v="0"/>
    <x v="8"/>
    <x v="0"/>
  </r>
  <r>
    <s v="ORD00275"/>
    <s v="2024-05-29"/>
    <s v="Rohit Verma"/>
    <x v="3"/>
    <s v="Mysuru"/>
    <x v="0"/>
    <s v="Educational"/>
    <x v="14"/>
    <x v="0"/>
    <n v="3"/>
    <n v="47384.51"/>
    <n v="25"/>
    <n v="142153.53"/>
    <n v="117672.31"/>
    <n v="24481.22"/>
    <x v="5"/>
    <x v="39"/>
    <x v="0"/>
    <x v="2"/>
    <x v="0"/>
  </r>
  <r>
    <s v="ORD00276"/>
    <s v="2024-07-13"/>
    <s v="Arjun Mehta"/>
    <x v="3"/>
    <s v="Mysuru"/>
    <x v="1"/>
    <s v="General"/>
    <x v="8"/>
    <x v="1"/>
    <n v="2"/>
    <n v="15826.47"/>
    <n v="30"/>
    <n v="31652.94"/>
    <n v="24343.72"/>
    <n v="7309.22"/>
    <x v="5"/>
    <x v="2"/>
    <x v="0"/>
    <x v="5"/>
    <x v="0"/>
  </r>
  <r>
    <s v="ORD00277"/>
    <s v="2025-02-02"/>
    <s v="Pooja Nair"/>
    <x v="4"/>
    <s v="Nagpur"/>
    <x v="2"/>
    <s v="Makeup"/>
    <x v="19"/>
    <x v="11"/>
    <n v="5"/>
    <n v="33927.57"/>
    <n v="15"/>
    <n v="169637.85"/>
    <n v="128013.35"/>
    <n v="41624.5"/>
    <x v="2"/>
    <x v="8"/>
    <x v="0"/>
    <x v="8"/>
    <x v="1"/>
  </r>
  <r>
    <s v="ORD00278"/>
    <s v="2025-02-07"/>
    <s v="Rohit Verma"/>
    <x v="7"/>
    <s v="Chennai"/>
    <x v="3"/>
    <s v="Smartphones"/>
    <x v="9"/>
    <x v="5"/>
    <n v="1"/>
    <n v="27400.84"/>
    <n v="15"/>
    <n v="27400.84"/>
    <n v="18889.34"/>
    <n v="8511.5"/>
    <x v="5"/>
    <x v="22"/>
    <x v="0"/>
    <x v="8"/>
    <x v="1"/>
  </r>
  <r>
    <s v="ORD00279"/>
    <s v="2024-04-02"/>
    <s v="Pooja Nair"/>
    <x v="0"/>
    <s v="New Delhi"/>
    <x v="3"/>
    <s v="Laptops"/>
    <x v="9"/>
    <x v="14"/>
    <n v="4"/>
    <n v="37684.28"/>
    <n v="25"/>
    <n v="150737.12"/>
    <n v="108250.49"/>
    <n v="42486.63"/>
    <x v="3"/>
    <x v="3"/>
    <x v="0"/>
    <x v="9"/>
    <x v="0"/>
  </r>
  <r>
    <s v="ORD00280"/>
    <s v="2025-01-23"/>
    <s v="Sneha Iyer"/>
    <x v="6"/>
    <s v="Lucknow"/>
    <x v="1"/>
    <s v="General"/>
    <x v="6"/>
    <x v="1"/>
    <n v="4"/>
    <n v="22968.18"/>
    <n v="5"/>
    <n v="91872.72"/>
    <n v="71133.83"/>
    <n v="20738.89"/>
    <x v="5"/>
    <x v="27"/>
    <x v="0"/>
    <x v="6"/>
    <x v="1"/>
  </r>
  <r>
    <s v="ORD00281"/>
    <s v="2025-01-10"/>
    <s v="Karan Shah"/>
    <x v="0"/>
    <s v="New Delhi"/>
    <x v="4"/>
    <s v="Cookware"/>
    <x v="23"/>
    <x v="9"/>
    <n v="1"/>
    <n v="43444.93"/>
    <n v="30"/>
    <n v="43444.93"/>
    <n v="36283.120000000003"/>
    <n v="7161.81"/>
    <x v="2"/>
    <x v="9"/>
    <x v="0"/>
    <x v="6"/>
    <x v="1"/>
  </r>
  <r>
    <s v="ORD00282"/>
    <s v="2024-07-25"/>
    <s v="Arjun Mehta"/>
    <x v="4"/>
    <s v="Nagpur"/>
    <x v="3"/>
    <s v="Headphones"/>
    <x v="20"/>
    <x v="12"/>
    <n v="3"/>
    <n v="36083.22"/>
    <n v="20"/>
    <n v="108249.66"/>
    <n v="71945.13"/>
    <n v="36304.53"/>
    <x v="4"/>
    <x v="36"/>
    <x v="0"/>
    <x v="5"/>
    <x v="0"/>
  </r>
  <r>
    <s v="ORD00283"/>
    <s v="2024-11-09"/>
    <s v="Amit Kumar"/>
    <x v="0"/>
    <s v="New Delhi"/>
    <x v="4"/>
    <s v="Cookware"/>
    <x v="4"/>
    <x v="10"/>
    <n v="5"/>
    <n v="43043.82"/>
    <n v="15"/>
    <n v="215219.1"/>
    <n v="167089.04"/>
    <n v="48130.06"/>
    <x v="2"/>
    <x v="27"/>
    <x v="0"/>
    <x v="3"/>
    <x v="0"/>
  </r>
  <r>
    <s v="ORD00284"/>
    <s v="2024-11-10"/>
    <s v="Amit Kumar"/>
    <x v="3"/>
    <s v="Mysuru"/>
    <x v="3"/>
    <s v="Smartwatches"/>
    <x v="3"/>
    <x v="12"/>
    <n v="4"/>
    <n v="1517.63"/>
    <n v="15"/>
    <n v="6070.52"/>
    <n v="5085.47"/>
    <n v="985.05"/>
    <x v="3"/>
    <x v="6"/>
    <x v="0"/>
    <x v="3"/>
    <x v="0"/>
  </r>
  <r>
    <s v="ORD00285"/>
    <s v="2024-11-15"/>
    <s v="Pooja Nair"/>
    <x v="1"/>
    <s v="Kolkata"/>
    <x v="0"/>
    <s v="Fiction"/>
    <x v="21"/>
    <x v="7"/>
    <n v="5"/>
    <n v="1626.1"/>
    <n v="20"/>
    <n v="8130.5"/>
    <n v="6077.65"/>
    <n v="2052.85"/>
    <x v="4"/>
    <x v="18"/>
    <x v="0"/>
    <x v="3"/>
    <x v="0"/>
  </r>
  <r>
    <s v="ORD00286"/>
    <s v="2024-04-27"/>
    <s v="Pooja Nair"/>
    <x v="7"/>
    <s v="Coimbatore"/>
    <x v="1"/>
    <s v="General"/>
    <x v="15"/>
    <x v="1"/>
    <n v="1"/>
    <n v="40384.620000000003"/>
    <n v="10"/>
    <n v="40384.620000000003"/>
    <n v="30014.48"/>
    <n v="10370.14"/>
    <x v="1"/>
    <x v="24"/>
    <x v="0"/>
    <x v="9"/>
    <x v="0"/>
  </r>
  <r>
    <s v="ORD00287"/>
    <s v="2025-02-06"/>
    <s v="Pooja Nair"/>
    <x v="5"/>
    <s v="Hyderabad"/>
    <x v="1"/>
    <s v="General"/>
    <x v="15"/>
    <x v="1"/>
    <n v="1"/>
    <n v="37295.08"/>
    <n v="10"/>
    <n v="37295.08"/>
    <n v="30271.279999999999"/>
    <n v="7023.8"/>
    <x v="1"/>
    <x v="9"/>
    <x v="0"/>
    <x v="8"/>
    <x v="1"/>
  </r>
  <r>
    <s v="ORD00288"/>
    <s v="2024-07-02"/>
    <s v="Neha Singh"/>
    <x v="4"/>
    <s v="Mumbai"/>
    <x v="1"/>
    <s v="General"/>
    <x v="6"/>
    <x v="1"/>
    <n v="3"/>
    <n v="13915.5"/>
    <n v="25"/>
    <n v="41746.5"/>
    <n v="34160.400000000001"/>
    <n v="7586.1"/>
    <x v="5"/>
    <x v="1"/>
    <x v="0"/>
    <x v="5"/>
    <x v="0"/>
  </r>
  <r>
    <s v="ORD00289"/>
    <s v="2024-07-07"/>
    <s v="Pooja Nair"/>
    <x v="4"/>
    <s v="Nagpur"/>
    <x v="3"/>
    <s v="Headphones"/>
    <x v="12"/>
    <x v="14"/>
    <n v="2"/>
    <n v="23625.05"/>
    <n v="15"/>
    <n v="47250.1"/>
    <n v="32680.83"/>
    <n v="14569.27"/>
    <x v="0"/>
    <x v="6"/>
    <x v="2"/>
    <x v="5"/>
    <x v="0"/>
  </r>
  <r>
    <s v="ORD00290"/>
    <s v="2024-08-02"/>
    <s v="Rahul Sharma"/>
    <x v="4"/>
    <s v="Pune"/>
    <x v="4"/>
    <s v="Storage"/>
    <x v="5"/>
    <x v="4"/>
    <n v="3"/>
    <n v="464.18"/>
    <n v="5"/>
    <n v="1392.54"/>
    <n v="1042.81"/>
    <n v="349.73"/>
    <x v="0"/>
    <x v="27"/>
    <x v="0"/>
    <x v="11"/>
    <x v="0"/>
  </r>
  <r>
    <s v="ORD00291"/>
    <s v="2024-11-05"/>
    <s v="Rohit Verma"/>
    <x v="7"/>
    <s v="Chennai"/>
    <x v="1"/>
    <s v="General"/>
    <x v="15"/>
    <x v="1"/>
    <n v="2"/>
    <n v="26667.15"/>
    <n v="25"/>
    <n v="53334.3"/>
    <n v="41294.78"/>
    <n v="12039.52"/>
    <x v="4"/>
    <x v="30"/>
    <x v="0"/>
    <x v="3"/>
    <x v="0"/>
  </r>
  <r>
    <s v="ORD00292"/>
    <s v="2024-11-01"/>
    <s v="Arjun Mehta"/>
    <x v="4"/>
    <s v="Nagpur"/>
    <x v="0"/>
    <s v="Fiction"/>
    <x v="21"/>
    <x v="0"/>
    <n v="2"/>
    <n v="29093.02"/>
    <n v="20"/>
    <n v="58186.04"/>
    <n v="41533.69"/>
    <n v="16652.349999999999"/>
    <x v="0"/>
    <x v="13"/>
    <x v="0"/>
    <x v="3"/>
    <x v="0"/>
  </r>
  <r>
    <s v="ORD00293"/>
    <s v="2024-12-12"/>
    <s v="Rahul Sharma"/>
    <x v="3"/>
    <s v="Mysuru"/>
    <x v="1"/>
    <s v="General"/>
    <x v="8"/>
    <x v="1"/>
    <n v="3"/>
    <n v="44770.65"/>
    <n v="15"/>
    <n v="134311.95000000001"/>
    <n v="103331.34"/>
    <n v="30980.61"/>
    <x v="2"/>
    <x v="0"/>
    <x v="0"/>
    <x v="1"/>
    <x v="0"/>
  </r>
  <r>
    <s v="ORD00294"/>
    <s v="2024-08-02"/>
    <s v="Neha Singh"/>
    <x v="4"/>
    <s v="Pune"/>
    <x v="4"/>
    <s v="Cookware"/>
    <x v="16"/>
    <x v="9"/>
    <n v="1"/>
    <n v="32749.9"/>
    <n v="5"/>
    <n v="32749.9"/>
    <n v="24848.55"/>
    <n v="7901.35"/>
    <x v="5"/>
    <x v="28"/>
    <x v="0"/>
    <x v="11"/>
    <x v="0"/>
  </r>
  <r>
    <s v="ORD00295"/>
    <s v="2024-05-30"/>
    <s v="Amit Kumar"/>
    <x v="5"/>
    <s v="Hyderabad"/>
    <x v="0"/>
    <s v="Educational"/>
    <x v="0"/>
    <x v="0"/>
    <n v="3"/>
    <n v="4990.66"/>
    <n v="20"/>
    <n v="14971.98"/>
    <n v="11074.76"/>
    <n v="3897.22"/>
    <x v="2"/>
    <x v="33"/>
    <x v="0"/>
    <x v="2"/>
    <x v="0"/>
  </r>
  <r>
    <s v="ORD00296"/>
    <s v="2024-11-25"/>
    <s v="Amit Kumar"/>
    <x v="4"/>
    <s v="Pune"/>
    <x v="1"/>
    <s v="General"/>
    <x v="15"/>
    <x v="1"/>
    <n v="3"/>
    <n v="11044.89"/>
    <n v="25"/>
    <n v="33134.67"/>
    <n v="26129.48"/>
    <n v="7005.19"/>
    <x v="2"/>
    <x v="39"/>
    <x v="0"/>
    <x v="3"/>
    <x v="0"/>
  </r>
  <r>
    <s v="ORD00297"/>
    <s v="2024-12-08"/>
    <s v="Rohit Verma"/>
    <x v="2"/>
    <s v="Ahmedabad"/>
    <x v="0"/>
    <s v="Fiction"/>
    <x v="21"/>
    <x v="0"/>
    <n v="5"/>
    <n v="46032.160000000003"/>
    <n v="15"/>
    <n v="230160.8"/>
    <n v="173757.39"/>
    <n v="56403.41"/>
    <x v="0"/>
    <x v="2"/>
    <x v="0"/>
    <x v="1"/>
    <x v="0"/>
  </r>
  <r>
    <s v="ORD00298"/>
    <s v="2024-08-25"/>
    <s v="Neha Singh"/>
    <x v="1"/>
    <s v="Kolkata"/>
    <x v="0"/>
    <s v="Educational"/>
    <x v="0"/>
    <x v="7"/>
    <n v="3"/>
    <n v="43965.67"/>
    <n v="30"/>
    <n v="131897.01"/>
    <n v="104246.73"/>
    <n v="27650.28"/>
    <x v="0"/>
    <x v="19"/>
    <x v="1"/>
    <x v="11"/>
    <x v="0"/>
  </r>
  <r>
    <s v="ORD00299"/>
    <s v="2024-05-25"/>
    <s v="Rohit Verma"/>
    <x v="3"/>
    <s v="Mysuru"/>
    <x v="1"/>
    <s v="General"/>
    <x v="15"/>
    <x v="1"/>
    <n v="2"/>
    <n v="6037.98"/>
    <n v="5"/>
    <n v="12075.96"/>
    <n v="10104.59"/>
    <n v="1971.37"/>
    <x v="3"/>
    <x v="22"/>
    <x v="1"/>
    <x v="2"/>
    <x v="0"/>
  </r>
  <r>
    <s v="ORD00300"/>
    <s v="2024-09-20"/>
    <s v="Rahul Sharma"/>
    <x v="6"/>
    <s v="Noida"/>
    <x v="0"/>
    <s v="Fiction"/>
    <x v="13"/>
    <x v="7"/>
    <n v="3"/>
    <n v="22747.82"/>
    <n v="30"/>
    <n v="68243.460000000006"/>
    <n v="53776.51"/>
    <n v="14466.95"/>
    <x v="0"/>
    <x v="16"/>
    <x v="0"/>
    <x v="0"/>
    <x v="0"/>
  </r>
  <r>
    <s v="ORD00301"/>
    <s v="2024-06-21"/>
    <s v="Anjali Gupta"/>
    <x v="6"/>
    <s v="Lucknow"/>
    <x v="3"/>
    <s v="Laptops"/>
    <x v="20"/>
    <x v="13"/>
    <n v="2"/>
    <n v="26615.919999999998"/>
    <n v="15"/>
    <n v="53231.839999999997"/>
    <n v="42148.13"/>
    <n v="11083.71"/>
    <x v="3"/>
    <x v="10"/>
    <x v="0"/>
    <x v="10"/>
    <x v="0"/>
  </r>
  <r>
    <s v="ORD00302"/>
    <s v="2024-07-08"/>
    <s v="Karan Shah"/>
    <x v="4"/>
    <s v="Nagpur"/>
    <x v="2"/>
    <s v="Skincare"/>
    <x v="2"/>
    <x v="6"/>
    <n v="2"/>
    <n v="48234.31"/>
    <n v="30"/>
    <n v="96468.62"/>
    <n v="66687.72"/>
    <n v="29780.9"/>
    <x v="0"/>
    <x v="31"/>
    <x v="0"/>
    <x v="5"/>
    <x v="0"/>
  </r>
  <r>
    <s v="ORD00303"/>
    <s v="2024-12-20"/>
    <s v="Pooja Nair"/>
    <x v="3"/>
    <s v="Bengaluru"/>
    <x v="4"/>
    <s v="Storage"/>
    <x v="7"/>
    <x v="10"/>
    <n v="1"/>
    <n v="24172.560000000001"/>
    <n v="5"/>
    <n v="24172.560000000001"/>
    <n v="17570.96"/>
    <n v="6601.6"/>
    <x v="1"/>
    <x v="4"/>
    <x v="0"/>
    <x v="1"/>
    <x v="0"/>
  </r>
  <r>
    <s v="ORD00304"/>
    <s v="2024-02-24"/>
    <s v="Rohit Verma"/>
    <x v="3"/>
    <s v="Bengaluru"/>
    <x v="0"/>
    <s v="Fiction"/>
    <x v="21"/>
    <x v="0"/>
    <n v="3"/>
    <n v="16385.37"/>
    <n v="10"/>
    <n v="49156.11"/>
    <n v="35317.19"/>
    <n v="13838.92"/>
    <x v="2"/>
    <x v="14"/>
    <x v="0"/>
    <x v="8"/>
    <x v="0"/>
  </r>
  <r>
    <s v="ORD00305"/>
    <s v="2024-03-30"/>
    <s v="Anjali Gupta"/>
    <x v="7"/>
    <s v="Chennai"/>
    <x v="1"/>
    <s v="General"/>
    <x v="15"/>
    <x v="1"/>
    <n v="3"/>
    <n v="29527.22"/>
    <n v="5"/>
    <n v="88581.66"/>
    <n v="70559.8"/>
    <n v="18021.86"/>
    <x v="3"/>
    <x v="12"/>
    <x v="0"/>
    <x v="7"/>
    <x v="0"/>
  </r>
  <r>
    <s v="ORD00306"/>
    <s v="2024-04-28"/>
    <s v="Sneha Iyer"/>
    <x v="5"/>
    <s v="Hyderabad"/>
    <x v="4"/>
    <s v="Cookware"/>
    <x v="7"/>
    <x v="10"/>
    <n v="3"/>
    <n v="42516.65"/>
    <n v="25"/>
    <n v="127549.95"/>
    <n v="108282.98"/>
    <n v="19266.97"/>
    <x v="5"/>
    <x v="31"/>
    <x v="0"/>
    <x v="9"/>
    <x v="0"/>
  </r>
  <r>
    <s v="ORD00307"/>
    <s v="2024-08-02"/>
    <s v="Karan Shah"/>
    <x v="2"/>
    <s v="Ahmedabad"/>
    <x v="0"/>
    <s v="Educational"/>
    <x v="13"/>
    <x v="0"/>
    <n v="5"/>
    <n v="27175.37"/>
    <n v="30"/>
    <n v="135876.85"/>
    <n v="110851.2"/>
    <n v="25025.65"/>
    <x v="3"/>
    <x v="1"/>
    <x v="0"/>
    <x v="11"/>
    <x v="0"/>
  </r>
  <r>
    <s v="ORD00308"/>
    <s v="2024-10-06"/>
    <s v="Anjali Gupta"/>
    <x v="5"/>
    <s v="Hyderabad"/>
    <x v="1"/>
    <s v="General"/>
    <x v="24"/>
    <x v="1"/>
    <n v="4"/>
    <n v="25379.68"/>
    <n v="25"/>
    <n v="101518.72"/>
    <n v="75386.33"/>
    <n v="26132.39"/>
    <x v="2"/>
    <x v="0"/>
    <x v="0"/>
    <x v="4"/>
    <x v="0"/>
  </r>
  <r>
    <s v="ORD00309"/>
    <s v="2025-01-12"/>
    <s v="Amit Kumar"/>
    <x v="4"/>
    <s v="Pune"/>
    <x v="0"/>
    <s v="Fiction"/>
    <x v="0"/>
    <x v="0"/>
    <n v="3"/>
    <n v="29568.18"/>
    <n v="5"/>
    <n v="88704.54"/>
    <n v="59297.59"/>
    <n v="29406.95"/>
    <x v="4"/>
    <x v="11"/>
    <x v="0"/>
    <x v="6"/>
    <x v="1"/>
  </r>
  <r>
    <s v="ORD00310"/>
    <s v="2024-12-23"/>
    <s v="Pooja Nair"/>
    <x v="7"/>
    <s v="Coimbatore"/>
    <x v="0"/>
    <s v="Fiction"/>
    <x v="21"/>
    <x v="0"/>
    <n v="2"/>
    <n v="23562.27"/>
    <n v="25"/>
    <n v="47124.54"/>
    <n v="39528.54"/>
    <n v="7596"/>
    <x v="4"/>
    <x v="35"/>
    <x v="0"/>
    <x v="1"/>
    <x v="0"/>
  </r>
  <r>
    <s v="ORD00311"/>
    <s v="2024-02-12"/>
    <s v="Sneha Iyer"/>
    <x v="3"/>
    <s v="Mysuru"/>
    <x v="1"/>
    <s v="General"/>
    <x v="24"/>
    <x v="1"/>
    <n v="2"/>
    <n v="19134.259999999998"/>
    <n v="25"/>
    <n v="38268.519999999997"/>
    <n v="27293.69"/>
    <n v="10974.83"/>
    <x v="3"/>
    <x v="33"/>
    <x v="0"/>
    <x v="8"/>
    <x v="0"/>
  </r>
  <r>
    <s v="ORD00312"/>
    <s v="2024-08-17"/>
    <s v="Neha Singh"/>
    <x v="6"/>
    <s v="Noida"/>
    <x v="0"/>
    <s v="Educational"/>
    <x v="21"/>
    <x v="7"/>
    <n v="5"/>
    <n v="10176.11"/>
    <n v="15"/>
    <n v="50880.55"/>
    <n v="38329.31"/>
    <n v="12551.24"/>
    <x v="5"/>
    <x v="37"/>
    <x v="0"/>
    <x v="11"/>
    <x v="0"/>
  </r>
  <r>
    <s v="ORD00313"/>
    <s v="2024-03-05"/>
    <s v="Anjali Gupta"/>
    <x v="5"/>
    <s v="Hyderabad"/>
    <x v="3"/>
    <s v="Headphones"/>
    <x v="18"/>
    <x v="3"/>
    <n v="3"/>
    <n v="48177.16"/>
    <n v="5"/>
    <n v="144531.48000000001"/>
    <n v="109473.78"/>
    <n v="35057.699999999997"/>
    <x v="5"/>
    <x v="5"/>
    <x v="0"/>
    <x v="7"/>
    <x v="0"/>
  </r>
  <r>
    <s v="ORD00314"/>
    <s v="2024-03-07"/>
    <s v="Sneha Iyer"/>
    <x v="7"/>
    <s v="Chennai"/>
    <x v="4"/>
    <s v="Cookware"/>
    <x v="5"/>
    <x v="4"/>
    <n v="5"/>
    <n v="6119.31"/>
    <n v="5"/>
    <n v="30596.55"/>
    <n v="25250.23"/>
    <n v="5346.32"/>
    <x v="5"/>
    <x v="39"/>
    <x v="0"/>
    <x v="7"/>
    <x v="0"/>
  </r>
  <r>
    <s v="ORD00315"/>
    <s v="2024-08-26"/>
    <s v="Pooja Nair"/>
    <x v="2"/>
    <s v="Surat"/>
    <x v="2"/>
    <s v="Skincare"/>
    <x v="19"/>
    <x v="6"/>
    <n v="1"/>
    <n v="6015.13"/>
    <n v="30"/>
    <n v="6015.13"/>
    <n v="4604.1899999999996"/>
    <n v="1410.94"/>
    <x v="4"/>
    <x v="30"/>
    <x v="0"/>
    <x v="11"/>
    <x v="0"/>
  </r>
  <r>
    <s v="ORD00316"/>
    <s v="2024-04-08"/>
    <s v="Pooja Nair"/>
    <x v="1"/>
    <s v="Kolkata"/>
    <x v="1"/>
    <s v="General"/>
    <x v="15"/>
    <x v="1"/>
    <n v="4"/>
    <n v="41198.839999999997"/>
    <n v="30"/>
    <n v="164795.35999999999"/>
    <n v="116949.82"/>
    <n v="47845.54"/>
    <x v="4"/>
    <x v="32"/>
    <x v="0"/>
    <x v="9"/>
    <x v="0"/>
  </r>
  <r>
    <s v="ORD00317"/>
    <s v="2024-11-30"/>
    <s v="Pooja Nair"/>
    <x v="1"/>
    <s v="Kolkata"/>
    <x v="0"/>
    <s v="Educational"/>
    <x v="14"/>
    <x v="0"/>
    <n v="3"/>
    <n v="11527.7"/>
    <n v="20"/>
    <n v="34583.1"/>
    <n v="23032.99"/>
    <n v="11550.11"/>
    <x v="5"/>
    <x v="31"/>
    <x v="2"/>
    <x v="3"/>
    <x v="0"/>
  </r>
  <r>
    <s v="ORD00318"/>
    <s v="2025-01-22"/>
    <s v="Karan Shah"/>
    <x v="3"/>
    <s v="Bengaluru"/>
    <x v="3"/>
    <s v="Headphones"/>
    <x v="3"/>
    <x v="13"/>
    <n v="4"/>
    <n v="27749.19"/>
    <n v="20"/>
    <n v="110996.76"/>
    <n v="84453.08"/>
    <n v="26543.68"/>
    <x v="2"/>
    <x v="15"/>
    <x v="0"/>
    <x v="6"/>
    <x v="1"/>
  </r>
  <r>
    <s v="ORD00319"/>
    <s v="2024-11-23"/>
    <s v="Amit Kumar"/>
    <x v="6"/>
    <s v="Noida"/>
    <x v="3"/>
    <s v="Laptops"/>
    <x v="12"/>
    <x v="5"/>
    <n v="1"/>
    <n v="14014.82"/>
    <n v="20"/>
    <n v="14014.82"/>
    <n v="11097.57"/>
    <n v="2917.25"/>
    <x v="4"/>
    <x v="33"/>
    <x v="1"/>
    <x v="3"/>
    <x v="0"/>
  </r>
  <r>
    <s v="ORD00320"/>
    <s v="2024-06-08"/>
    <s v="Arjun Mehta"/>
    <x v="6"/>
    <s v="Lucknow"/>
    <x v="3"/>
    <s v="Laptops"/>
    <x v="12"/>
    <x v="12"/>
    <n v="2"/>
    <n v="23293.14"/>
    <n v="20"/>
    <n v="46586.28"/>
    <n v="34388.43"/>
    <n v="12197.85"/>
    <x v="1"/>
    <x v="27"/>
    <x v="0"/>
    <x v="10"/>
    <x v="0"/>
  </r>
  <r>
    <s v="ORD00321"/>
    <s v="2024-10-13"/>
    <s v="Karan Shah"/>
    <x v="3"/>
    <s v="Mysuru"/>
    <x v="1"/>
    <s v="General"/>
    <x v="6"/>
    <x v="1"/>
    <n v="5"/>
    <n v="38592.49"/>
    <n v="25"/>
    <n v="192962.45"/>
    <n v="132708.9"/>
    <n v="60253.55"/>
    <x v="2"/>
    <x v="3"/>
    <x v="0"/>
    <x v="4"/>
    <x v="0"/>
  </r>
  <r>
    <s v="ORD00322"/>
    <s v="2024-06-03"/>
    <s v="Amit Kumar"/>
    <x v="5"/>
    <s v="Hyderabad"/>
    <x v="3"/>
    <s v="Smartphones"/>
    <x v="12"/>
    <x v="8"/>
    <n v="1"/>
    <n v="39898.86"/>
    <n v="15"/>
    <n v="39898.86"/>
    <n v="31707.33"/>
    <n v="8191.53"/>
    <x v="2"/>
    <x v="31"/>
    <x v="0"/>
    <x v="10"/>
    <x v="0"/>
  </r>
  <r>
    <s v="ORD00323"/>
    <s v="2024-10-10"/>
    <s v="Anjali Gupta"/>
    <x v="6"/>
    <s v="Noida"/>
    <x v="0"/>
    <s v="Educational"/>
    <x v="0"/>
    <x v="7"/>
    <n v="2"/>
    <n v="39842.5"/>
    <n v="15"/>
    <n v="79685"/>
    <n v="52528.69"/>
    <n v="27156.31"/>
    <x v="0"/>
    <x v="2"/>
    <x v="0"/>
    <x v="4"/>
    <x v="0"/>
  </r>
  <r>
    <s v="ORD00324"/>
    <s v="2024-04-07"/>
    <s v="Sneha Iyer"/>
    <x v="6"/>
    <s v="Noida"/>
    <x v="0"/>
    <s v="Educational"/>
    <x v="21"/>
    <x v="0"/>
    <n v="1"/>
    <n v="30395.25"/>
    <n v="20"/>
    <n v="30395.25"/>
    <n v="24969.59"/>
    <n v="5425.66"/>
    <x v="3"/>
    <x v="19"/>
    <x v="2"/>
    <x v="9"/>
    <x v="0"/>
  </r>
  <r>
    <s v="ORD00325"/>
    <s v="2025-01-01"/>
    <s v="Priya Patel"/>
    <x v="0"/>
    <s v="New Delhi"/>
    <x v="2"/>
    <s v="Skincare"/>
    <x v="2"/>
    <x v="2"/>
    <n v="5"/>
    <n v="36560.32"/>
    <n v="30"/>
    <n v="182801.6"/>
    <n v="127871.03999999999"/>
    <n v="54930.559999999998"/>
    <x v="5"/>
    <x v="15"/>
    <x v="0"/>
    <x v="6"/>
    <x v="1"/>
  </r>
  <r>
    <s v="ORD00326"/>
    <s v="2024-02-19"/>
    <s v="Karan Shah"/>
    <x v="5"/>
    <s v="Hyderabad"/>
    <x v="4"/>
    <s v="Cookware"/>
    <x v="4"/>
    <x v="10"/>
    <n v="1"/>
    <n v="44248.09"/>
    <n v="20"/>
    <n v="44248.09"/>
    <n v="31419.51"/>
    <n v="12828.58"/>
    <x v="5"/>
    <x v="4"/>
    <x v="0"/>
    <x v="8"/>
    <x v="0"/>
  </r>
  <r>
    <s v="ORD00327"/>
    <s v="2024-10-06"/>
    <s v="Rohit Verma"/>
    <x v="2"/>
    <s v="Ahmedabad"/>
    <x v="3"/>
    <s v="Smartwatches"/>
    <x v="9"/>
    <x v="5"/>
    <n v="1"/>
    <n v="18386.259999999998"/>
    <n v="25"/>
    <n v="18386.259999999998"/>
    <n v="14516.63"/>
    <n v="3869.63"/>
    <x v="4"/>
    <x v="23"/>
    <x v="0"/>
    <x v="4"/>
    <x v="0"/>
  </r>
  <r>
    <s v="ORD00328"/>
    <s v="2025-01-08"/>
    <s v="Rahul Sharma"/>
    <x v="3"/>
    <s v="Bengaluru"/>
    <x v="1"/>
    <s v="General"/>
    <x v="8"/>
    <x v="1"/>
    <n v="1"/>
    <n v="33683.4"/>
    <n v="15"/>
    <n v="33683.4"/>
    <n v="22090.560000000001"/>
    <n v="11592.84"/>
    <x v="0"/>
    <x v="28"/>
    <x v="2"/>
    <x v="6"/>
    <x v="1"/>
  </r>
  <r>
    <s v="ORD00329"/>
    <s v="2024-04-03"/>
    <s v="Rohit Verma"/>
    <x v="2"/>
    <s v="Surat"/>
    <x v="2"/>
    <s v="Skincare"/>
    <x v="17"/>
    <x v="2"/>
    <n v="3"/>
    <n v="49561.57"/>
    <n v="10"/>
    <n v="148684.71"/>
    <n v="115528.88"/>
    <n v="33155.83"/>
    <x v="5"/>
    <x v="0"/>
    <x v="0"/>
    <x v="9"/>
    <x v="0"/>
  </r>
  <r>
    <s v="ORD00330"/>
    <s v="2024-03-30"/>
    <s v="Arjun Mehta"/>
    <x v="4"/>
    <s v="Nagpur"/>
    <x v="2"/>
    <s v="Skincare"/>
    <x v="2"/>
    <x v="2"/>
    <n v="2"/>
    <n v="18551.650000000001"/>
    <n v="10"/>
    <n v="37103.300000000003"/>
    <n v="26500.400000000001"/>
    <n v="10602.9"/>
    <x v="4"/>
    <x v="8"/>
    <x v="0"/>
    <x v="7"/>
    <x v="0"/>
  </r>
  <r>
    <s v="ORD00331"/>
    <s v="2025-01-29"/>
    <s v="Karan Shah"/>
    <x v="5"/>
    <s v="Hyderabad"/>
    <x v="3"/>
    <s v="Headphones"/>
    <x v="20"/>
    <x v="3"/>
    <n v="5"/>
    <n v="12249.35"/>
    <n v="10"/>
    <n v="61246.75"/>
    <n v="49935.83"/>
    <n v="11310.92"/>
    <x v="2"/>
    <x v="36"/>
    <x v="0"/>
    <x v="6"/>
    <x v="1"/>
  </r>
  <r>
    <s v="ORD00332"/>
    <s v="2024-06-10"/>
    <s v="Neha Singh"/>
    <x v="4"/>
    <s v="Nagpur"/>
    <x v="1"/>
    <s v="General"/>
    <x v="1"/>
    <x v="1"/>
    <n v="1"/>
    <n v="35305.39"/>
    <n v="25"/>
    <n v="35305.39"/>
    <n v="28187.29"/>
    <n v="7118.1"/>
    <x v="1"/>
    <x v="21"/>
    <x v="0"/>
    <x v="10"/>
    <x v="0"/>
  </r>
  <r>
    <s v="ORD00333"/>
    <s v="2024-08-27"/>
    <s v="Rahul Sharma"/>
    <x v="5"/>
    <s v="Hyderabad"/>
    <x v="3"/>
    <s v="Smartphones"/>
    <x v="3"/>
    <x v="3"/>
    <n v="5"/>
    <n v="16790.46"/>
    <n v="30"/>
    <n v="83952.3"/>
    <n v="57920.61"/>
    <n v="26031.69"/>
    <x v="5"/>
    <x v="17"/>
    <x v="0"/>
    <x v="11"/>
    <x v="0"/>
  </r>
  <r>
    <s v="ORD00334"/>
    <s v="2024-03-28"/>
    <s v="Anjali Gupta"/>
    <x v="7"/>
    <s v="Chennai"/>
    <x v="1"/>
    <s v="General"/>
    <x v="8"/>
    <x v="1"/>
    <n v="4"/>
    <n v="26096.959999999999"/>
    <n v="20"/>
    <n v="104387.84"/>
    <n v="74283"/>
    <n v="30104.84"/>
    <x v="0"/>
    <x v="0"/>
    <x v="0"/>
    <x v="7"/>
    <x v="0"/>
  </r>
  <r>
    <s v="ORD00335"/>
    <s v="2024-03-22"/>
    <s v="Sneha Iyer"/>
    <x v="0"/>
    <s v="New Delhi"/>
    <x v="0"/>
    <s v="Fiction"/>
    <x v="22"/>
    <x v="0"/>
    <n v="5"/>
    <n v="34361.96"/>
    <n v="15"/>
    <n v="171809.8"/>
    <n v="113796.41"/>
    <n v="58013.39"/>
    <x v="5"/>
    <x v="2"/>
    <x v="0"/>
    <x v="7"/>
    <x v="0"/>
  </r>
  <r>
    <s v="ORD00336"/>
    <s v="2024-02-28"/>
    <s v="Amit Kumar"/>
    <x v="4"/>
    <s v="Mumbai"/>
    <x v="4"/>
    <s v="Cookware"/>
    <x v="7"/>
    <x v="9"/>
    <n v="5"/>
    <n v="46079.49"/>
    <n v="15"/>
    <n v="230397.45"/>
    <n v="192960"/>
    <n v="37437.449999999997"/>
    <x v="5"/>
    <x v="13"/>
    <x v="0"/>
    <x v="8"/>
    <x v="0"/>
  </r>
  <r>
    <s v="ORD00337"/>
    <s v="2024-06-05"/>
    <s v="Arjun Mehta"/>
    <x v="3"/>
    <s v="Bengaluru"/>
    <x v="4"/>
    <s v="Cookware"/>
    <x v="5"/>
    <x v="10"/>
    <n v="2"/>
    <n v="47053.440000000002"/>
    <n v="20"/>
    <n v="94106.880000000005"/>
    <n v="63388.23"/>
    <n v="30718.65"/>
    <x v="3"/>
    <x v="32"/>
    <x v="0"/>
    <x v="10"/>
    <x v="0"/>
  </r>
  <r>
    <s v="ORD00338"/>
    <s v="2024-08-14"/>
    <s v="Arjun Mehta"/>
    <x v="5"/>
    <s v="Hyderabad"/>
    <x v="3"/>
    <s v="Smartphones"/>
    <x v="9"/>
    <x v="8"/>
    <n v="3"/>
    <n v="18905.939999999999"/>
    <n v="30"/>
    <n v="56717.82"/>
    <n v="44167.43"/>
    <n v="12550.39"/>
    <x v="1"/>
    <x v="16"/>
    <x v="0"/>
    <x v="11"/>
    <x v="0"/>
  </r>
  <r>
    <s v="ORD00339"/>
    <s v="2024-11-08"/>
    <s v="Rohit Verma"/>
    <x v="7"/>
    <s v="Coimbatore"/>
    <x v="2"/>
    <s v="Skincare"/>
    <x v="17"/>
    <x v="6"/>
    <n v="3"/>
    <n v="30977.18"/>
    <n v="5"/>
    <n v="92931.54"/>
    <n v="64569.25"/>
    <n v="28362.29"/>
    <x v="1"/>
    <x v="26"/>
    <x v="0"/>
    <x v="3"/>
    <x v="0"/>
  </r>
  <r>
    <s v="ORD00340"/>
    <s v="2024-05-27"/>
    <s v="Rohit Verma"/>
    <x v="6"/>
    <s v="Lucknow"/>
    <x v="4"/>
    <s v="Cookware"/>
    <x v="7"/>
    <x v="4"/>
    <n v="2"/>
    <n v="41841.57"/>
    <n v="25"/>
    <n v="83683.14"/>
    <n v="64914.84"/>
    <n v="18768.3"/>
    <x v="3"/>
    <x v="19"/>
    <x v="0"/>
    <x v="2"/>
    <x v="0"/>
  </r>
  <r>
    <s v="ORD00341"/>
    <s v="2024-08-12"/>
    <s v="Anjali Gupta"/>
    <x v="4"/>
    <s v="Mumbai"/>
    <x v="3"/>
    <s v="Smartwatches"/>
    <x v="18"/>
    <x v="12"/>
    <n v="4"/>
    <n v="4277.1499999999996"/>
    <n v="25"/>
    <n v="17108.599999999999"/>
    <n v="13376.05"/>
    <n v="3732.55"/>
    <x v="3"/>
    <x v="37"/>
    <x v="0"/>
    <x v="11"/>
    <x v="0"/>
  </r>
  <r>
    <s v="ORD00342"/>
    <s v="2025-02-03"/>
    <s v="Pooja Nair"/>
    <x v="4"/>
    <s v="Nagpur"/>
    <x v="4"/>
    <s v="Cookware"/>
    <x v="23"/>
    <x v="9"/>
    <n v="2"/>
    <n v="15648.85"/>
    <n v="10"/>
    <n v="31297.7"/>
    <n v="24088.22"/>
    <n v="7209.48"/>
    <x v="4"/>
    <x v="2"/>
    <x v="0"/>
    <x v="8"/>
    <x v="1"/>
  </r>
  <r>
    <s v="ORD00343"/>
    <s v="2024-02-15"/>
    <s v="Arjun Mehta"/>
    <x v="0"/>
    <s v="New Delhi"/>
    <x v="3"/>
    <s v="Smartwatches"/>
    <x v="20"/>
    <x v="12"/>
    <n v="3"/>
    <n v="26992.720000000001"/>
    <n v="15"/>
    <n v="80978.16"/>
    <n v="55000.83"/>
    <n v="25977.33"/>
    <x v="2"/>
    <x v="19"/>
    <x v="0"/>
    <x v="8"/>
    <x v="0"/>
  </r>
  <r>
    <s v="ORD00344"/>
    <s v="2024-05-03"/>
    <s v="Arjun Mehta"/>
    <x v="7"/>
    <s v="Coimbatore"/>
    <x v="3"/>
    <s v="Laptops"/>
    <x v="20"/>
    <x v="5"/>
    <n v="4"/>
    <n v="49586.31"/>
    <n v="20"/>
    <n v="198345.24"/>
    <n v="136712.13"/>
    <n v="61633.11"/>
    <x v="1"/>
    <x v="17"/>
    <x v="0"/>
    <x v="2"/>
    <x v="0"/>
  </r>
  <r>
    <s v="ORD00345"/>
    <s v="2024-03-21"/>
    <s v="Sneha Iyer"/>
    <x v="0"/>
    <s v="New Delhi"/>
    <x v="3"/>
    <s v="Headphones"/>
    <x v="9"/>
    <x v="5"/>
    <n v="1"/>
    <n v="37181.040000000001"/>
    <n v="15"/>
    <n v="37181.040000000001"/>
    <n v="27547.48"/>
    <n v="9633.56"/>
    <x v="2"/>
    <x v="12"/>
    <x v="0"/>
    <x v="7"/>
    <x v="0"/>
  </r>
  <r>
    <s v="ORD00346"/>
    <s v="2025-01-25"/>
    <s v="Sneha Iyer"/>
    <x v="0"/>
    <s v="New Delhi"/>
    <x v="1"/>
    <s v="General"/>
    <x v="6"/>
    <x v="1"/>
    <n v="4"/>
    <n v="46090.65"/>
    <n v="10"/>
    <n v="184362.6"/>
    <n v="144522.42000000001"/>
    <n v="39840.18"/>
    <x v="1"/>
    <x v="26"/>
    <x v="0"/>
    <x v="6"/>
    <x v="1"/>
  </r>
  <r>
    <s v="ORD00347"/>
    <s v="2024-07-23"/>
    <s v="Priya Patel"/>
    <x v="2"/>
    <s v="Surat"/>
    <x v="0"/>
    <s v="Educational"/>
    <x v="0"/>
    <x v="0"/>
    <n v="4"/>
    <n v="48151.09"/>
    <n v="5"/>
    <n v="192604.36"/>
    <n v="140758.46"/>
    <n v="51845.9"/>
    <x v="1"/>
    <x v="36"/>
    <x v="0"/>
    <x v="5"/>
    <x v="0"/>
  </r>
  <r>
    <s v="ORD00348"/>
    <s v="2024-09-28"/>
    <s v="Rohit Verma"/>
    <x v="2"/>
    <s v="Ahmedabad"/>
    <x v="3"/>
    <s v="Laptops"/>
    <x v="3"/>
    <x v="3"/>
    <n v="2"/>
    <n v="8197.4699999999993"/>
    <n v="10"/>
    <n v="16394.939999999999"/>
    <n v="10729.15"/>
    <n v="5665.79"/>
    <x v="2"/>
    <x v="32"/>
    <x v="0"/>
    <x v="0"/>
    <x v="0"/>
  </r>
  <r>
    <s v="ORD00349"/>
    <s v="2024-07-13"/>
    <s v="Karan Shah"/>
    <x v="6"/>
    <s v="Noida"/>
    <x v="4"/>
    <s v="Cookware"/>
    <x v="4"/>
    <x v="9"/>
    <n v="2"/>
    <n v="40679.29"/>
    <n v="5"/>
    <n v="81358.58"/>
    <n v="64207.13"/>
    <n v="17151.45"/>
    <x v="2"/>
    <x v="39"/>
    <x v="0"/>
    <x v="5"/>
    <x v="0"/>
  </r>
  <r>
    <s v="ORD00350"/>
    <s v="2024-10-15"/>
    <s v="Priya Patel"/>
    <x v="1"/>
    <s v="Kolkata"/>
    <x v="2"/>
    <s v="Makeup"/>
    <x v="10"/>
    <x v="6"/>
    <n v="3"/>
    <n v="45012.71"/>
    <n v="10"/>
    <n v="135038.13"/>
    <n v="114274.09"/>
    <n v="20764.04"/>
    <x v="1"/>
    <x v="35"/>
    <x v="0"/>
    <x v="4"/>
    <x v="0"/>
  </r>
  <r>
    <s v="ORD00351"/>
    <s v="2025-02-07"/>
    <s v="Karan Shah"/>
    <x v="6"/>
    <s v="Lucknow"/>
    <x v="2"/>
    <s v="Makeup"/>
    <x v="10"/>
    <x v="2"/>
    <n v="3"/>
    <n v="5127.0200000000004"/>
    <n v="30"/>
    <n v="15381.06"/>
    <n v="10754.39"/>
    <n v="4626.67"/>
    <x v="0"/>
    <x v="16"/>
    <x v="0"/>
    <x v="8"/>
    <x v="1"/>
  </r>
  <r>
    <s v="ORD00352"/>
    <s v="2025-01-12"/>
    <s v="Neha Singh"/>
    <x v="4"/>
    <s v="Mumbai"/>
    <x v="3"/>
    <s v="Laptops"/>
    <x v="18"/>
    <x v="14"/>
    <n v="3"/>
    <n v="13954.48"/>
    <n v="5"/>
    <n v="41863.440000000002"/>
    <n v="35155.61"/>
    <n v="6707.83"/>
    <x v="1"/>
    <x v="39"/>
    <x v="0"/>
    <x v="6"/>
    <x v="1"/>
  </r>
  <r>
    <s v="ORD00353"/>
    <s v="2024-09-06"/>
    <s v="Neha Singh"/>
    <x v="4"/>
    <s v="Nagpur"/>
    <x v="1"/>
    <s v="General"/>
    <x v="15"/>
    <x v="1"/>
    <n v="4"/>
    <n v="26166.89"/>
    <n v="5"/>
    <n v="104667.56"/>
    <n v="69150.490000000005"/>
    <n v="35517.07"/>
    <x v="4"/>
    <x v="13"/>
    <x v="0"/>
    <x v="0"/>
    <x v="0"/>
  </r>
  <r>
    <s v="ORD00354"/>
    <s v="2024-12-30"/>
    <s v="Rahul Sharma"/>
    <x v="6"/>
    <s v="Noida"/>
    <x v="2"/>
    <s v="Skincare"/>
    <x v="17"/>
    <x v="6"/>
    <n v="2"/>
    <n v="45072.69"/>
    <n v="10"/>
    <n v="90145.38"/>
    <n v="62723"/>
    <n v="27422.38"/>
    <x v="2"/>
    <x v="8"/>
    <x v="0"/>
    <x v="1"/>
    <x v="0"/>
  </r>
  <r>
    <s v="ORD00355"/>
    <s v="2024-03-09"/>
    <s v="Neha Singh"/>
    <x v="3"/>
    <s v="Mysuru"/>
    <x v="1"/>
    <s v="General"/>
    <x v="15"/>
    <x v="1"/>
    <n v="2"/>
    <n v="33543.19"/>
    <n v="15"/>
    <n v="67086.38"/>
    <n v="54032.41"/>
    <n v="13053.97"/>
    <x v="1"/>
    <x v="13"/>
    <x v="0"/>
    <x v="7"/>
    <x v="0"/>
  </r>
  <r>
    <s v="ORD00356"/>
    <s v="2024-03-20"/>
    <s v="Karan Shah"/>
    <x v="2"/>
    <s v="Ahmedabad"/>
    <x v="0"/>
    <s v="Fiction"/>
    <x v="22"/>
    <x v="0"/>
    <n v="3"/>
    <n v="34116.230000000003"/>
    <n v="30"/>
    <n v="102348.69"/>
    <n v="82504.08"/>
    <n v="19844.61"/>
    <x v="2"/>
    <x v="23"/>
    <x v="0"/>
    <x v="7"/>
    <x v="0"/>
  </r>
  <r>
    <s v="ORD00357"/>
    <s v="2024-07-29"/>
    <s v="Anjali Gupta"/>
    <x v="0"/>
    <s v="New Delhi"/>
    <x v="0"/>
    <s v="Fiction"/>
    <x v="22"/>
    <x v="0"/>
    <n v="5"/>
    <n v="15466.4"/>
    <n v="5"/>
    <n v="77332"/>
    <n v="56593.02"/>
    <n v="20738.98"/>
    <x v="2"/>
    <x v="36"/>
    <x v="0"/>
    <x v="5"/>
    <x v="0"/>
  </r>
  <r>
    <s v="ORD00358"/>
    <s v="2024-03-15"/>
    <s v="Neha Singh"/>
    <x v="5"/>
    <s v="Hyderabad"/>
    <x v="3"/>
    <s v="Smartphones"/>
    <x v="18"/>
    <x v="8"/>
    <n v="4"/>
    <n v="19879.400000000001"/>
    <n v="10"/>
    <n v="79517.600000000006"/>
    <n v="54208.94"/>
    <n v="25308.66"/>
    <x v="0"/>
    <x v="3"/>
    <x v="0"/>
    <x v="7"/>
    <x v="0"/>
  </r>
  <r>
    <s v="ORD00359"/>
    <s v="2024-06-10"/>
    <s v="Neha Singh"/>
    <x v="0"/>
    <s v="New Delhi"/>
    <x v="4"/>
    <s v="Storage"/>
    <x v="23"/>
    <x v="9"/>
    <n v="2"/>
    <n v="11914.15"/>
    <n v="20"/>
    <n v="23828.3"/>
    <n v="16762.55"/>
    <n v="7065.75"/>
    <x v="2"/>
    <x v="7"/>
    <x v="0"/>
    <x v="10"/>
    <x v="0"/>
  </r>
  <r>
    <s v="ORD00360"/>
    <s v="2024-09-21"/>
    <s v="Sneha Iyer"/>
    <x v="7"/>
    <s v="Coimbatore"/>
    <x v="1"/>
    <s v="General"/>
    <x v="24"/>
    <x v="1"/>
    <n v="4"/>
    <n v="7936.32"/>
    <n v="30"/>
    <n v="31745.279999999999"/>
    <n v="25365.54"/>
    <n v="6379.74"/>
    <x v="4"/>
    <x v="39"/>
    <x v="2"/>
    <x v="0"/>
    <x v="0"/>
  </r>
  <r>
    <s v="ORD00361"/>
    <s v="2024-09-01"/>
    <s v="Rahul Sharma"/>
    <x v="0"/>
    <s v="New Delhi"/>
    <x v="0"/>
    <s v="Educational"/>
    <x v="0"/>
    <x v="0"/>
    <n v="2"/>
    <n v="7633.85"/>
    <n v="10"/>
    <n v="15267.7"/>
    <n v="10375.07"/>
    <n v="4892.63"/>
    <x v="5"/>
    <x v="28"/>
    <x v="0"/>
    <x v="0"/>
    <x v="0"/>
  </r>
  <r>
    <s v="ORD00362"/>
    <s v="2024-05-26"/>
    <s v="Priya Patel"/>
    <x v="7"/>
    <s v="Chennai"/>
    <x v="2"/>
    <s v="Skincare"/>
    <x v="2"/>
    <x v="6"/>
    <n v="4"/>
    <n v="2470.8200000000002"/>
    <n v="10"/>
    <n v="9883.2800000000007"/>
    <n v="6460.61"/>
    <n v="3422.67"/>
    <x v="1"/>
    <x v="6"/>
    <x v="0"/>
    <x v="2"/>
    <x v="0"/>
  </r>
  <r>
    <s v="ORD00363"/>
    <s v="2024-09-27"/>
    <s v="Karan Shah"/>
    <x v="7"/>
    <s v="Coimbatore"/>
    <x v="4"/>
    <s v="Storage"/>
    <x v="23"/>
    <x v="4"/>
    <n v="3"/>
    <n v="908.47"/>
    <n v="30"/>
    <n v="2725.41"/>
    <n v="1929.01"/>
    <n v="796.4"/>
    <x v="3"/>
    <x v="33"/>
    <x v="0"/>
    <x v="0"/>
    <x v="0"/>
  </r>
  <r>
    <s v="ORD00364"/>
    <s v="2024-09-20"/>
    <s v="Sneha Iyer"/>
    <x v="0"/>
    <s v="New Delhi"/>
    <x v="4"/>
    <s v="Cookware"/>
    <x v="7"/>
    <x v="9"/>
    <n v="4"/>
    <n v="14102.56"/>
    <n v="15"/>
    <n v="56410.239999999998"/>
    <n v="36959.379999999997"/>
    <n v="19450.86"/>
    <x v="3"/>
    <x v="36"/>
    <x v="0"/>
    <x v="0"/>
    <x v="0"/>
  </r>
  <r>
    <s v="ORD00365"/>
    <s v="2024-08-14"/>
    <s v="Karan Shah"/>
    <x v="3"/>
    <s v="Mysuru"/>
    <x v="3"/>
    <s v="Laptops"/>
    <x v="18"/>
    <x v="3"/>
    <n v="4"/>
    <n v="23287.93"/>
    <n v="20"/>
    <n v="93151.72"/>
    <n v="72662.259999999995"/>
    <n v="20489.46"/>
    <x v="0"/>
    <x v="6"/>
    <x v="0"/>
    <x v="11"/>
    <x v="0"/>
  </r>
  <r>
    <s v="ORD00366"/>
    <s v="2025-01-28"/>
    <s v="Sneha Iyer"/>
    <x v="2"/>
    <s v="Ahmedabad"/>
    <x v="4"/>
    <s v="Cookware"/>
    <x v="5"/>
    <x v="9"/>
    <n v="1"/>
    <n v="41333.21"/>
    <n v="5"/>
    <n v="41333.21"/>
    <n v="32491.34"/>
    <n v="8841.8700000000008"/>
    <x v="5"/>
    <x v="9"/>
    <x v="0"/>
    <x v="6"/>
    <x v="1"/>
  </r>
  <r>
    <s v="ORD00367"/>
    <s v="2024-08-06"/>
    <s v="Amit Kumar"/>
    <x v="4"/>
    <s v="Pune"/>
    <x v="0"/>
    <s v="Educational"/>
    <x v="0"/>
    <x v="7"/>
    <n v="1"/>
    <n v="35304.99"/>
    <n v="25"/>
    <n v="35304.99"/>
    <n v="28020.53"/>
    <n v="7284.46"/>
    <x v="3"/>
    <x v="6"/>
    <x v="0"/>
    <x v="11"/>
    <x v="0"/>
  </r>
  <r>
    <s v="ORD00368"/>
    <s v="2024-07-31"/>
    <s v="Pooja Nair"/>
    <x v="2"/>
    <s v="Surat"/>
    <x v="1"/>
    <s v="General"/>
    <x v="1"/>
    <x v="1"/>
    <n v="2"/>
    <n v="22335.58"/>
    <n v="5"/>
    <n v="44671.16"/>
    <n v="30728.67"/>
    <n v="13942.49"/>
    <x v="2"/>
    <x v="28"/>
    <x v="2"/>
    <x v="5"/>
    <x v="0"/>
  </r>
  <r>
    <s v="ORD00369"/>
    <s v="2024-11-26"/>
    <s v="Anjali Gupta"/>
    <x v="1"/>
    <s v="Kolkata"/>
    <x v="4"/>
    <s v="Storage"/>
    <x v="4"/>
    <x v="10"/>
    <n v="5"/>
    <n v="40486.080000000002"/>
    <n v="25"/>
    <n v="202430.4"/>
    <n v="154826.1"/>
    <n v="47604.3"/>
    <x v="2"/>
    <x v="22"/>
    <x v="0"/>
    <x v="3"/>
    <x v="0"/>
  </r>
  <r>
    <s v="ORD00370"/>
    <s v="2024-07-07"/>
    <s v="Neha Singh"/>
    <x v="3"/>
    <s v="Mysuru"/>
    <x v="0"/>
    <s v="Educational"/>
    <x v="0"/>
    <x v="0"/>
    <n v="1"/>
    <n v="20353.400000000001"/>
    <n v="20"/>
    <n v="20353.400000000001"/>
    <n v="14528.64"/>
    <n v="5824.76"/>
    <x v="1"/>
    <x v="36"/>
    <x v="0"/>
    <x v="5"/>
    <x v="0"/>
  </r>
  <r>
    <s v="ORD00371"/>
    <s v="2024-10-24"/>
    <s v="Pooja Nair"/>
    <x v="0"/>
    <s v="New Delhi"/>
    <x v="3"/>
    <s v="Smartwatches"/>
    <x v="18"/>
    <x v="3"/>
    <n v="3"/>
    <n v="2258.27"/>
    <n v="10"/>
    <n v="6774.81"/>
    <n v="4404.51"/>
    <n v="2370.3000000000002"/>
    <x v="2"/>
    <x v="38"/>
    <x v="0"/>
    <x v="4"/>
    <x v="0"/>
  </r>
  <r>
    <s v="ORD00372"/>
    <s v="2024-05-28"/>
    <s v="Pooja Nair"/>
    <x v="7"/>
    <s v="Chennai"/>
    <x v="3"/>
    <s v="Laptops"/>
    <x v="12"/>
    <x v="5"/>
    <n v="5"/>
    <n v="704.55"/>
    <n v="30"/>
    <n v="3522.75"/>
    <n v="2498.8000000000002"/>
    <n v="1023.95"/>
    <x v="0"/>
    <x v="9"/>
    <x v="0"/>
    <x v="2"/>
    <x v="0"/>
  </r>
  <r>
    <s v="ORD00373"/>
    <s v="2024-07-15"/>
    <s v="Karan Shah"/>
    <x v="0"/>
    <s v="New Delhi"/>
    <x v="4"/>
    <s v="Storage"/>
    <x v="7"/>
    <x v="4"/>
    <n v="1"/>
    <n v="38629"/>
    <n v="5"/>
    <n v="38629"/>
    <n v="25503.94"/>
    <n v="13125.06"/>
    <x v="5"/>
    <x v="9"/>
    <x v="0"/>
    <x v="5"/>
    <x v="0"/>
  </r>
  <r>
    <s v="ORD00374"/>
    <s v="2025-01-07"/>
    <s v="Amit Kumar"/>
    <x v="6"/>
    <s v="Noida"/>
    <x v="0"/>
    <s v="Educational"/>
    <x v="21"/>
    <x v="7"/>
    <n v="4"/>
    <n v="37303.26"/>
    <n v="15"/>
    <n v="149213.04"/>
    <n v="126436.53"/>
    <n v="22776.51"/>
    <x v="3"/>
    <x v="36"/>
    <x v="0"/>
    <x v="6"/>
    <x v="1"/>
  </r>
  <r>
    <s v="ORD00375"/>
    <s v="2024-04-17"/>
    <s v="Sneha Iyer"/>
    <x v="2"/>
    <s v="Ahmedabad"/>
    <x v="3"/>
    <s v="Laptops"/>
    <x v="12"/>
    <x v="13"/>
    <n v="4"/>
    <n v="11507.22"/>
    <n v="5"/>
    <n v="46028.88"/>
    <n v="31455.56"/>
    <n v="14573.32"/>
    <x v="0"/>
    <x v="23"/>
    <x v="0"/>
    <x v="9"/>
    <x v="0"/>
  </r>
  <r>
    <s v="ORD00376"/>
    <s v="2024-10-06"/>
    <s v="Amit Kumar"/>
    <x v="2"/>
    <s v="Surat"/>
    <x v="4"/>
    <s v="Cookware"/>
    <x v="7"/>
    <x v="4"/>
    <n v="1"/>
    <n v="48710.25"/>
    <n v="5"/>
    <n v="48710.25"/>
    <n v="39207.5"/>
    <n v="9502.75"/>
    <x v="4"/>
    <x v="5"/>
    <x v="0"/>
    <x v="4"/>
    <x v="0"/>
  </r>
  <r>
    <s v="ORD00377"/>
    <s v="2024-06-12"/>
    <s v="Sneha Iyer"/>
    <x v="4"/>
    <s v="Nagpur"/>
    <x v="0"/>
    <s v="Educational"/>
    <x v="0"/>
    <x v="7"/>
    <n v="1"/>
    <n v="20075.810000000001"/>
    <n v="5"/>
    <n v="20075.810000000001"/>
    <n v="13747.78"/>
    <n v="6328.03"/>
    <x v="0"/>
    <x v="35"/>
    <x v="0"/>
    <x v="10"/>
    <x v="0"/>
  </r>
  <r>
    <s v="ORD00378"/>
    <s v="2024-05-12"/>
    <s v="Priya Patel"/>
    <x v="0"/>
    <s v="New Delhi"/>
    <x v="0"/>
    <s v="Educational"/>
    <x v="13"/>
    <x v="7"/>
    <n v="2"/>
    <n v="8448.77"/>
    <n v="30"/>
    <n v="16897.54"/>
    <n v="13617.54"/>
    <n v="3280"/>
    <x v="1"/>
    <x v="28"/>
    <x v="0"/>
    <x v="2"/>
    <x v="0"/>
  </r>
  <r>
    <s v="ORD00379"/>
    <s v="2024-07-03"/>
    <s v="Arjun Mehta"/>
    <x v="3"/>
    <s v="Bengaluru"/>
    <x v="1"/>
    <s v="General"/>
    <x v="6"/>
    <x v="1"/>
    <n v="4"/>
    <n v="29310.76"/>
    <n v="15"/>
    <n v="117243.04"/>
    <n v="91582.46"/>
    <n v="25660.58"/>
    <x v="2"/>
    <x v="2"/>
    <x v="0"/>
    <x v="5"/>
    <x v="0"/>
  </r>
  <r>
    <s v="ORD00380"/>
    <s v="2024-11-29"/>
    <s v="Sneha Iyer"/>
    <x v="0"/>
    <s v="New Delhi"/>
    <x v="0"/>
    <s v="Educational"/>
    <x v="0"/>
    <x v="0"/>
    <n v="4"/>
    <n v="708.78"/>
    <n v="15"/>
    <n v="2835.12"/>
    <n v="2159.4"/>
    <n v="675.72"/>
    <x v="3"/>
    <x v="6"/>
    <x v="0"/>
    <x v="3"/>
    <x v="0"/>
  </r>
  <r>
    <s v="ORD00381"/>
    <s v="2025-01-19"/>
    <s v="Sneha Iyer"/>
    <x v="0"/>
    <s v="New Delhi"/>
    <x v="1"/>
    <s v="General"/>
    <x v="8"/>
    <x v="1"/>
    <n v="4"/>
    <n v="24062.33"/>
    <n v="30"/>
    <n v="96249.32"/>
    <n v="67178.11"/>
    <n v="29071.21"/>
    <x v="0"/>
    <x v="19"/>
    <x v="0"/>
    <x v="6"/>
    <x v="1"/>
  </r>
  <r>
    <s v="ORD00382"/>
    <s v="2024-06-18"/>
    <s v="Rahul Sharma"/>
    <x v="5"/>
    <s v="Hyderabad"/>
    <x v="1"/>
    <s v="General"/>
    <x v="6"/>
    <x v="1"/>
    <n v="1"/>
    <n v="27827.66"/>
    <n v="20"/>
    <n v="27827.66"/>
    <n v="18446.34"/>
    <n v="9381.32"/>
    <x v="3"/>
    <x v="16"/>
    <x v="0"/>
    <x v="10"/>
    <x v="0"/>
  </r>
  <r>
    <s v="ORD00383"/>
    <s v="2024-05-22"/>
    <s v="Karan Shah"/>
    <x v="1"/>
    <s v="Kolkata"/>
    <x v="3"/>
    <s v="Headphones"/>
    <x v="3"/>
    <x v="8"/>
    <n v="2"/>
    <n v="40862.870000000003"/>
    <n v="20"/>
    <n v="81725.740000000005"/>
    <n v="69075.44"/>
    <n v="12650.3"/>
    <x v="0"/>
    <x v="23"/>
    <x v="0"/>
    <x v="2"/>
    <x v="0"/>
  </r>
  <r>
    <s v="ORD00384"/>
    <s v="2024-02-17"/>
    <s v="Anjali Gupta"/>
    <x v="2"/>
    <s v="Surat"/>
    <x v="1"/>
    <s v="General"/>
    <x v="6"/>
    <x v="1"/>
    <n v="2"/>
    <n v="11399.26"/>
    <n v="25"/>
    <n v="22798.52"/>
    <n v="18697.43"/>
    <n v="4101.09"/>
    <x v="5"/>
    <x v="34"/>
    <x v="0"/>
    <x v="8"/>
    <x v="0"/>
  </r>
  <r>
    <s v="ORD00385"/>
    <s v="2024-06-30"/>
    <s v="Amit Kumar"/>
    <x v="6"/>
    <s v="Lucknow"/>
    <x v="2"/>
    <s v="Skincare"/>
    <x v="17"/>
    <x v="6"/>
    <n v="1"/>
    <n v="5463.13"/>
    <n v="20"/>
    <n v="5463.13"/>
    <n v="4151.58"/>
    <n v="1311.55"/>
    <x v="0"/>
    <x v="1"/>
    <x v="0"/>
    <x v="10"/>
    <x v="0"/>
  </r>
  <r>
    <s v="ORD00386"/>
    <s v="2024-07-17"/>
    <s v="Sneha Iyer"/>
    <x v="5"/>
    <s v="Hyderabad"/>
    <x v="0"/>
    <s v="Fiction"/>
    <x v="13"/>
    <x v="0"/>
    <n v="5"/>
    <n v="8644.99"/>
    <n v="15"/>
    <n v="43224.95"/>
    <n v="33421.379999999997"/>
    <n v="9803.57"/>
    <x v="0"/>
    <x v="17"/>
    <x v="0"/>
    <x v="5"/>
    <x v="0"/>
  </r>
  <r>
    <s v="ORD00387"/>
    <s v="2024-10-27"/>
    <s v="Sneha Iyer"/>
    <x v="5"/>
    <s v="Hyderabad"/>
    <x v="3"/>
    <s v="Headphones"/>
    <x v="20"/>
    <x v="12"/>
    <n v="2"/>
    <n v="27481.15"/>
    <n v="5"/>
    <n v="54962.3"/>
    <n v="35814.080000000002"/>
    <n v="19148.22"/>
    <x v="3"/>
    <x v="3"/>
    <x v="0"/>
    <x v="4"/>
    <x v="0"/>
  </r>
  <r>
    <s v="ORD00388"/>
    <s v="2024-06-03"/>
    <s v="Sneha Iyer"/>
    <x v="7"/>
    <s v="Coimbatore"/>
    <x v="0"/>
    <s v="Educational"/>
    <x v="22"/>
    <x v="0"/>
    <n v="4"/>
    <n v="47819.23"/>
    <n v="25"/>
    <n v="191276.92"/>
    <n v="149009.47"/>
    <n v="42267.45"/>
    <x v="2"/>
    <x v="19"/>
    <x v="0"/>
    <x v="10"/>
    <x v="0"/>
  </r>
  <r>
    <s v="ORD00389"/>
    <s v="2024-03-09"/>
    <s v="Karan Shah"/>
    <x v="0"/>
    <s v="New Delhi"/>
    <x v="2"/>
    <s v="Makeup"/>
    <x v="11"/>
    <x v="11"/>
    <n v="4"/>
    <n v="7145.81"/>
    <n v="5"/>
    <n v="28583.24"/>
    <n v="22002.62"/>
    <n v="6580.62"/>
    <x v="2"/>
    <x v="30"/>
    <x v="0"/>
    <x v="7"/>
    <x v="0"/>
  </r>
  <r>
    <s v="ORD00390"/>
    <s v="2024-06-04"/>
    <s v="Neha Singh"/>
    <x v="7"/>
    <s v="Chennai"/>
    <x v="3"/>
    <s v="Headphones"/>
    <x v="20"/>
    <x v="13"/>
    <n v="3"/>
    <n v="29847.4"/>
    <n v="5"/>
    <n v="89542.2"/>
    <n v="72356.460000000006"/>
    <n v="17185.740000000002"/>
    <x v="0"/>
    <x v="36"/>
    <x v="0"/>
    <x v="10"/>
    <x v="0"/>
  </r>
  <r>
    <s v="ORD00391"/>
    <s v="2024-10-28"/>
    <s v="Arjun Mehta"/>
    <x v="2"/>
    <s v="Surat"/>
    <x v="2"/>
    <s v="Makeup"/>
    <x v="11"/>
    <x v="2"/>
    <n v="2"/>
    <n v="11186.35"/>
    <n v="10"/>
    <n v="22372.7"/>
    <n v="16495.23"/>
    <n v="5877.47"/>
    <x v="3"/>
    <x v="19"/>
    <x v="0"/>
    <x v="4"/>
    <x v="0"/>
  </r>
  <r>
    <s v="ORD00392"/>
    <s v="2024-07-02"/>
    <s v="Neha Singh"/>
    <x v="0"/>
    <s v="New Delhi"/>
    <x v="0"/>
    <s v="Educational"/>
    <x v="0"/>
    <x v="0"/>
    <n v="3"/>
    <n v="36535.74"/>
    <n v="5"/>
    <n v="109607.22"/>
    <n v="87774.26"/>
    <n v="21832.959999999999"/>
    <x v="1"/>
    <x v="12"/>
    <x v="0"/>
    <x v="5"/>
    <x v="0"/>
  </r>
  <r>
    <s v="ORD00393"/>
    <s v="2025-01-05"/>
    <s v="Arjun Mehta"/>
    <x v="4"/>
    <s v="Pune"/>
    <x v="1"/>
    <s v="General"/>
    <x v="6"/>
    <x v="1"/>
    <n v="3"/>
    <n v="12046.9"/>
    <n v="20"/>
    <n v="36140.699999999997"/>
    <n v="30121.83"/>
    <n v="6018.87"/>
    <x v="3"/>
    <x v="3"/>
    <x v="0"/>
    <x v="6"/>
    <x v="1"/>
  </r>
  <r>
    <s v="ORD00394"/>
    <s v="2024-03-12"/>
    <s v="Rohit Verma"/>
    <x v="6"/>
    <s v="Lucknow"/>
    <x v="2"/>
    <s v="Skincare"/>
    <x v="17"/>
    <x v="11"/>
    <n v="4"/>
    <n v="7043.51"/>
    <n v="5"/>
    <n v="28174.04"/>
    <n v="23601.35"/>
    <n v="4572.6899999999996"/>
    <x v="1"/>
    <x v="10"/>
    <x v="0"/>
    <x v="7"/>
    <x v="0"/>
  </r>
  <r>
    <s v="ORD00395"/>
    <s v="2024-07-31"/>
    <s v="Arjun Mehta"/>
    <x v="0"/>
    <s v="New Delhi"/>
    <x v="1"/>
    <s v="General"/>
    <x v="6"/>
    <x v="1"/>
    <n v="4"/>
    <n v="34369.57"/>
    <n v="5"/>
    <n v="137478.28"/>
    <n v="106699.69"/>
    <n v="30778.59"/>
    <x v="5"/>
    <x v="14"/>
    <x v="0"/>
    <x v="5"/>
    <x v="0"/>
  </r>
  <r>
    <s v="ORD00396"/>
    <s v="2024-03-10"/>
    <s v="Rahul Sharma"/>
    <x v="3"/>
    <s v="Mysuru"/>
    <x v="1"/>
    <s v="General"/>
    <x v="6"/>
    <x v="1"/>
    <n v="3"/>
    <n v="4827.49"/>
    <n v="25"/>
    <n v="14482.47"/>
    <n v="9540.27"/>
    <n v="4942.2"/>
    <x v="0"/>
    <x v="24"/>
    <x v="0"/>
    <x v="7"/>
    <x v="0"/>
  </r>
  <r>
    <s v="ORD00397"/>
    <s v="2025-01-08"/>
    <s v="Rahul Sharma"/>
    <x v="2"/>
    <s v="Surat"/>
    <x v="2"/>
    <s v="Makeup"/>
    <x v="11"/>
    <x v="6"/>
    <n v="2"/>
    <n v="14851.66"/>
    <n v="15"/>
    <n v="29703.32"/>
    <n v="21502.65"/>
    <n v="8200.67"/>
    <x v="0"/>
    <x v="30"/>
    <x v="0"/>
    <x v="6"/>
    <x v="1"/>
  </r>
  <r>
    <s v="ORD00398"/>
    <s v="2024-04-19"/>
    <s v="Karan Shah"/>
    <x v="1"/>
    <s v="Kolkata"/>
    <x v="1"/>
    <s v="General"/>
    <x v="8"/>
    <x v="1"/>
    <n v="3"/>
    <n v="40248.269999999997"/>
    <n v="5"/>
    <n v="120744.81"/>
    <n v="101720.27"/>
    <n v="19024.54"/>
    <x v="2"/>
    <x v="1"/>
    <x v="0"/>
    <x v="9"/>
    <x v="0"/>
  </r>
  <r>
    <s v="ORD00399"/>
    <s v="2024-12-23"/>
    <s v="Pooja Nair"/>
    <x v="4"/>
    <s v="Pune"/>
    <x v="1"/>
    <s v="General"/>
    <x v="1"/>
    <x v="1"/>
    <n v="2"/>
    <n v="37135.360000000001"/>
    <n v="5"/>
    <n v="74270.720000000001"/>
    <n v="56242.31"/>
    <n v="18028.41"/>
    <x v="5"/>
    <x v="32"/>
    <x v="0"/>
    <x v="1"/>
    <x v="0"/>
  </r>
  <r>
    <s v="ORD00400"/>
    <s v="2024-08-13"/>
    <s v="Amit Kumar"/>
    <x v="1"/>
    <s v="Kolkata"/>
    <x v="2"/>
    <s v="Makeup"/>
    <x v="19"/>
    <x v="11"/>
    <n v="5"/>
    <n v="25794.78"/>
    <n v="5"/>
    <n v="128973.9"/>
    <n v="107536.7"/>
    <n v="21437.200000000001"/>
    <x v="0"/>
    <x v="34"/>
    <x v="0"/>
    <x v="11"/>
    <x v="0"/>
  </r>
  <r>
    <s v="ORD00401"/>
    <s v="2024-05-23"/>
    <s v="Karan Shah"/>
    <x v="7"/>
    <s v="Coimbatore"/>
    <x v="2"/>
    <s v="Makeup"/>
    <x v="19"/>
    <x v="11"/>
    <n v="3"/>
    <n v="47564.29"/>
    <n v="5"/>
    <n v="142692.87"/>
    <n v="93140.82"/>
    <n v="49552.05"/>
    <x v="5"/>
    <x v="0"/>
    <x v="0"/>
    <x v="2"/>
    <x v="0"/>
  </r>
  <r>
    <s v="ORD00402"/>
    <s v="2024-07-27"/>
    <s v="Rohit Verma"/>
    <x v="3"/>
    <s v="Bengaluru"/>
    <x v="4"/>
    <s v="Storage"/>
    <x v="5"/>
    <x v="10"/>
    <n v="3"/>
    <n v="5500.92"/>
    <n v="5"/>
    <n v="16502.759999999998"/>
    <n v="11417.27"/>
    <n v="5085.49"/>
    <x v="0"/>
    <x v="10"/>
    <x v="0"/>
    <x v="5"/>
    <x v="0"/>
  </r>
  <r>
    <s v="ORD00403"/>
    <s v="2024-05-01"/>
    <s v="Karan Shah"/>
    <x v="5"/>
    <s v="Hyderabad"/>
    <x v="0"/>
    <s v="Educational"/>
    <x v="13"/>
    <x v="0"/>
    <n v="2"/>
    <n v="904.29"/>
    <n v="30"/>
    <n v="1808.58"/>
    <n v="1503.6"/>
    <n v="304.98"/>
    <x v="0"/>
    <x v="0"/>
    <x v="0"/>
    <x v="2"/>
    <x v="0"/>
  </r>
  <r>
    <s v="ORD00404"/>
    <s v="2024-04-15"/>
    <s v="Anjali Gupta"/>
    <x v="0"/>
    <s v="New Delhi"/>
    <x v="3"/>
    <s v="Laptops"/>
    <x v="3"/>
    <x v="5"/>
    <n v="2"/>
    <n v="25035.46"/>
    <n v="20"/>
    <n v="50070.92"/>
    <n v="33862.410000000003"/>
    <n v="16208.51"/>
    <x v="0"/>
    <x v="16"/>
    <x v="0"/>
    <x v="9"/>
    <x v="0"/>
  </r>
  <r>
    <s v="ORD00405"/>
    <s v="2025-01-06"/>
    <s v="Amit Kumar"/>
    <x v="7"/>
    <s v="Chennai"/>
    <x v="1"/>
    <s v="General"/>
    <x v="6"/>
    <x v="1"/>
    <n v="5"/>
    <n v="30156.36"/>
    <n v="10"/>
    <n v="150781.79999999999"/>
    <n v="120830.59"/>
    <n v="29951.21"/>
    <x v="1"/>
    <x v="2"/>
    <x v="0"/>
    <x v="6"/>
    <x v="1"/>
  </r>
  <r>
    <s v="ORD00406"/>
    <s v="2025-01-12"/>
    <s v="Karan Shah"/>
    <x v="4"/>
    <s v="Pune"/>
    <x v="1"/>
    <s v="General"/>
    <x v="8"/>
    <x v="1"/>
    <n v="1"/>
    <n v="42189.9"/>
    <n v="5"/>
    <n v="42189.9"/>
    <n v="35828.589999999997"/>
    <n v="6361.31"/>
    <x v="4"/>
    <x v="20"/>
    <x v="0"/>
    <x v="6"/>
    <x v="1"/>
  </r>
  <r>
    <s v="ORD00407"/>
    <s v="2024-12-10"/>
    <s v="Neha Singh"/>
    <x v="6"/>
    <s v="Noida"/>
    <x v="1"/>
    <s v="General"/>
    <x v="1"/>
    <x v="1"/>
    <n v="2"/>
    <n v="41122.81"/>
    <n v="25"/>
    <n v="82245.62"/>
    <n v="68500.14"/>
    <n v="13745.48"/>
    <x v="5"/>
    <x v="38"/>
    <x v="0"/>
    <x v="1"/>
    <x v="0"/>
  </r>
  <r>
    <s v="ORD00408"/>
    <s v="2024-10-05"/>
    <s v="Karan Shah"/>
    <x v="6"/>
    <s v="Noida"/>
    <x v="1"/>
    <s v="General"/>
    <x v="15"/>
    <x v="1"/>
    <n v="1"/>
    <n v="21705.78"/>
    <n v="15"/>
    <n v="21705.78"/>
    <n v="15783.09"/>
    <n v="5922.69"/>
    <x v="3"/>
    <x v="19"/>
    <x v="0"/>
    <x v="4"/>
    <x v="0"/>
  </r>
  <r>
    <s v="ORD00409"/>
    <s v="2024-12-11"/>
    <s v="Anjali Gupta"/>
    <x v="4"/>
    <s v="Nagpur"/>
    <x v="3"/>
    <s v="Laptops"/>
    <x v="20"/>
    <x v="3"/>
    <n v="3"/>
    <n v="28391.65"/>
    <n v="15"/>
    <n v="85174.95"/>
    <n v="63547.63"/>
    <n v="21627.32"/>
    <x v="0"/>
    <x v="15"/>
    <x v="0"/>
    <x v="1"/>
    <x v="0"/>
  </r>
  <r>
    <s v="ORD00410"/>
    <s v="2024-12-16"/>
    <s v="Rahul Sharma"/>
    <x v="0"/>
    <s v="New Delhi"/>
    <x v="4"/>
    <s v="Cookware"/>
    <x v="5"/>
    <x v="9"/>
    <n v="2"/>
    <n v="40031.86"/>
    <n v="15"/>
    <n v="80063.72"/>
    <n v="66832.27"/>
    <n v="13231.45"/>
    <x v="3"/>
    <x v="30"/>
    <x v="0"/>
    <x v="1"/>
    <x v="0"/>
  </r>
  <r>
    <s v="ORD00411"/>
    <s v="2025-01-12"/>
    <s v="Neha Singh"/>
    <x v="6"/>
    <s v="Lucknow"/>
    <x v="4"/>
    <s v="Storage"/>
    <x v="5"/>
    <x v="10"/>
    <n v="4"/>
    <n v="41248.019999999997"/>
    <n v="15"/>
    <n v="164992.07999999999"/>
    <n v="121795.97"/>
    <n v="43196.11"/>
    <x v="4"/>
    <x v="8"/>
    <x v="0"/>
    <x v="6"/>
    <x v="1"/>
  </r>
  <r>
    <s v="ORD00412"/>
    <s v="2024-05-18"/>
    <s v="Karan Shah"/>
    <x v="6"/>
    <s v="Noida"/>
    <x v="2"/>
    <s v="Skincare"/>
    <x v="19"/>
    <x v="2"/>
    <n v="2"/>
    <n v="35325.379999999997"/>
    <n v="15"/>
    <n v="70650.759999999995"/>
    <n v="51945.39"/>
    <n v="18705.37"/>
    <x v="1"/>
    <x v="27"/>
    <x v="0"/>
    <x v="2"/>
    <x v="0"/>
  </r>
  <r>
    <s v="ORD00413"/>
    <s v="2024-12-09"/>
    <s v="Arjun Mehta"/>
    <x v="1"/>
    <s v="Kolkata"/>
    <x v="4"/>
    <s v="Cookware"/>
    <x v="5"/>
    <x v="10"/>
    <n v="1"/>
    <n v="45866.22"/>
    <n v="15"/>
    <n v="45866.22"/>
    <n v="29928.48"/>
    <n v="15937.74"/>
    <x v="3"/>
    <x v="1"/>
    <x v="0"/>
    <x v="1"/>
    <x v="0"/>
  </r>
  <r>
    <s v="ORD00414"/>
    <s v="2024-08-18"/>
    <s v="Neha Singh"/>
    <x v="3"/>
    <s v="Bengaluru"/>
    <x v="1"/>
    <s v="General"/>
    <x v="24"/>
    <x v="1"/>
    <n v="4"/>
    <n v="42975.360000000001"/>
    <n v="5"/>
    <n v="171901.44"/>
    <n v="138886.47"/>
    <n v="33014.97"/>
    <x v="3"/>
    <x v="26"/>
    <x v="0"/>
    <x v="11"/>
    <x v="0"/>
  </r>
  <r>
    <s v="ORD00415"/>
    <s v="2025-02-07"/>
    <s v="Anjali Gupta"/>
    <x v="5"/>
    <s v="Hyderabad"/>
    <x v="3"/>
    <s v="Smartphones"/>
    <x v="9"/>
    <x v="5"/>
    <n v="5"/>
    <n v="7532.86"/>
    <n v="25"/>
    <n v="37664.300000000003"/>
    <n v="25876.880000000001"/>
    <n v="11787.42"/>
    <x v="1"/>
    <x v="39"/>
    <x v="0"/>
    <x v="8"/>
    <x v="1"/>
  </r>
  <r>
    <s v="ORD00416"/>
    <s v="2024-04-19"/>
    <s v="Sneha Iyer"/>
    <x v="2"/>
    <s v="Ahmedabad"/>
    <x v="2"/>
    <s v="Skincare"/>
    <x v="2"/>
    <x v="6"/>
    <n v="4"/>
    <n v="39931.75"/>
    <n v="5"/>
    <n v="159727"/>
    <n v="130701.65"/>
    <n v="29025.35"/>
    <x v="4"/>
    <x v="7"/>
    <x v="0"/>
    <x v="9"/>
    <x v="0"/>
  </r>
  <r>
    <s v="ORD00417"/>
    <s v="2024-03-10"/>
    <s v="Neha Singh"/>
    <x v="4"/>
    <s v="Mumbai"/>
    <x v="3"/>
    <s v="Laptops"/>
    <x v="20"/>
    <x v="12"/>
    <n v="4"/>
    <n v="20760.439999999999"/>
    <n v="20"/>
    <n v="83041.759999999995"/>
    <n v="68487.59"/>
    <n v="14554.17"/>
    <x v="3"/>
    <x v="7"/>
    <x v="0"/>
    <x v="7"/>
    <x v="0"/>
  </r>
  <r>
    <s v="ORD00418"/>
    <s v="2024-07-23"/>
    <s v="Karan Shah"/>
    <x v="4"/>
    <s v="Mumbai"/>
    <x v="1"/>
    <s v="General"/>
    <x v="15"/>
    <x v="1"/>
    <n v="5"/>
    <n v="29466.3"/>
    <n v="15"/>
    <n v="147331.5"/>
    <n v="119557.29"/>
    <n v="27774.21"/>
    <x v="5"/>
    <x v="11"/>
    <x v="0"/>
    <x v="5"/>
    <x v="0"/>
  </r>
  <r>
    <s v="ORD00419"/>
    <s v="2024-11-04"/>
    <s v="Rahul Sharma"/>
    <x v="0"/>
    <s v="New Delhi"/>
    <x v="2"/>
    <s v="Skincare"/>
    <x v="2"/>
    <x v="11"/>
    <n v="3"/>
    <n v="756.85"/>
    <n v="5"/>
    <n v="2270.5500000000002"/>
    <n v="1535.54"/>
    <n v="735.01"/>
    <x v="1"/>
    <x v="38"/>
    <x v="0"/>
    <x v="3"/>
    <x v="0"/>
  </r>
  <r>
    <s v="ORD00420"/>
    <s v="2024-06-27"/>
    <s v="Sneha Iyer"/>
    <x v="5"/>
    <s v="Hyderabad"/>
    <x v="3"/>
    <s v="Laptops"/>
    <x v="3"/>
    <x v="13"/>
    <n v="4"/>
    <n v="43711.45"/>
    <n v="10"/>
    <n v="174845.8"/>
    <n v="137968.65"/>
    <n v="36877.15"/>
    <x v="2"/>
    <x v="16"/>
    <x v="0"/>
    <x v="10"/>
    <x v="0"/>
  </r>
  <r>
    <s v="ORD00421"/>
    <s v="2024-06-09"/>
    <s v="Rahul Sharma"/>
    <x v="0"/>
    <s v="New Delhi"/>
    <x v="0"/>
    <s v="Fiction"/>
    <x v="13"/>
    <x v="7"/>
    <n v="2"/>
    <n v="1134.78"/>
    <n v="10"/>
    <n v="2269.56"/>
    <n v="1689.39"/>
    <n v="580.16999999999996"/>
    <x v="0"/>
    <x v="1"/>
    <x v="0"/>
    <x v="10"/>
    <x v="0"/>
  </r>
  <r>
    <s v="ORD00422"/>
    <s v="2024-10-05"/>
    <s v="Amit Kumar"/>
    <x v="6"/>
    <s v="Lucknow"/>
    <x v="4"/>
    <s v="Cookware"/>
    <x v="23"/>
    <x v="4"/>
    <n v="3"/>
    <n v="6859"/>
    <n v="20"/>
    <n v="20577"/>
    <n v="14604.55"/>
    <n v="5972.45"/>
    <x v="5"/>
    <x v="14"/>
    <x v="0"/>
    <x v="4"/>
    <x v="0"/>
  </r>
  <r>
    <s v="ORD00423"/>
    <s v="2024-06-27"/>
    <s v="Sneha Iyer"/>
    <x v="6"/>
    <s v="Lucknow"/>
    <x v="0"/>
    <s v="Educational"/>
    <x v="22"/>
    <x v="0"/>
    <n v="3"/>
    <n v="28818.74"/>
    <n v="25"/>
    <n v="86456.22"/>
    <n v="69143.55"/>
    <n v="17312.669999999998"/>
    <x v="0"/>
    <x v="23"/>
    <x v="0"/>
    <x v="10"/>
    <x v="0"/>
  </r>
  <r>
    <s v="ORD00424"/>
    <s v="2024-10-25"/>
    <s v="Amit Kumar"/>
    <x v="6"/>
    <s v="Lucknow"/>
    <x v="3"/>
    <s v="Smartphones"/>
    <x v="18"/>
    <x v="12"/>
    <n v="4"/>
    <n v="25233.95"/>
    <n v="5"/>
    <n v="100935.8"/>
    <n v="68199.58"/>
    <n v="32736.22"/>
    <x v="3"/>
    <x v="27"/>
    <x v="0"/>
    <x v="4"/>
    <x v="0"/>
  </r>
  <r>
    <s v="ORD00425"/>
    <s v="2024-08-20"/>
    <s v="Priya Patel"/>
    <x v="6"/>
    <s v="Lucknow"/>
    <x v="0"/>
    <s v="Educational"/>
    <x v="0"/>
    <x v="7"/>
    <n v="1"/>
    <n v="28577.34"/>
    <n v="15"/>
    <n v="28577.34"/>
    <n v="23257.51"/>
    <n v="5319.83"/>
    <x v="1"/>
    <x v="29"/>
    <x v="0"/>
    <x v="11"/>
    <x v="0"/>
  </r>
  <r>
    <s v="ORD00426"/>
    <s v="2024-02-22"/>
    <s v="Arjun Mehta"/>
    <x v="1"/>
    <s v="Kolkata"/>
    <x v="4"/>
    <s v="Storage"/>
    <x v="16"/>
    <x v="10"/>
    <n v="3"/>
    <n v="7322.87"/>
    <n v="25"/>
    <n v="21968.61"/>
    <n v="18006.73"/>
    <n v="3961.88"/>
    <x v="3"/>
    <x v="40"/>
    <x v="0"/>
    <x v="8"/>
    <x v="0"/>
  </r>
  <r>
    <s v="ORD00427"/>
    <s v="2024-05-05"/>
    <s v="Pooja Nair"/>
    <x v="5"/>
    <s v="Hyderabad"/>
    <x v="0"/>
    <s v="Fiction"/>
    <x v="21"/>
    <x v="0"/>
    <n v="4"/>
    <n v="25144.48"/>
    <n v="5"/>
    <n v="100577.92"/>
    <n v="66689.38"/>
    <n v="33888.54"/>
    <x v="5"/>
    <x v="11"/>
    <x v="0"/>
    <x v="2"/>
    <x v="0"/>
  </r>
  <r>
    <s v="ORD00428"/>
    <s v="2024-11-14"/>
    <s v="Anjali Gupta"/>
    <x v="6"/>
    <s v="Noida"/>
    <x v="4"/>
    <s v="Storage"/>
    <x v="5"/>
    <x v="9"/>
    <n v="5"/>
    <n v="16289.17"/>
    <n v="10"/>
    <n v="81445.850000000006"/>
    <n v="56960.52"/>
    <n v="24485.33"/>
    <x v="5"/>
    <x v="8"/>
    <x v="0"/>
    <x v="3"/>
    <x v="0"/>
  </r>
  <r>
    <s v="ORD00429"/>
    <s v="2024-12-08"/>
    <s v="Rohit Verma"/>
    <x v="6"/>
    <s v="Noida"/>
    <x v="0"/>
    <s v="Educational"/>
    <x v="13"/>
    <x v="7"/>
    <n v="3"/>
    <n v="24973.13"/>
    <n v="15"/>
    <n v="74919.39"/>
    <n v="61574.01"/>
    <n v="13345.38"/>
    <x v="0"/>
    <x v="3"/>
    <x v="0"/>
    <x v="1"/>
    <x v="0"/>
  </r>
  <r>
    <s v="ORD00430"/>
    <s v="2024-05-16"/>
    <s v="Karan Shah"/>
    <x v="4"/>
    <s v="Nagpur"/>
    <x v="4"/>
    <s v="Storage"/>
    <x v="4"/>
    <x v="9"/>
    <n v="2"/>
    <n v="5804.38"/>
    <n v="30"/>
    <n v="11608.76"/>
    <n v="9709.75"/>
    <n v="1899.01"/>
    <x v="3"/>
    <x v="21"/>
    <x v="0"/>
    <x v="2"/>
    <x v="0"/>
  </r>
  <r>
    <s v="ORD00431"/>
    <s v="2024-03-13"/>
    <s v="Rohit Verma"/>
    <x v="3"/>
    <s v="Mysuru"/>
    <x v="1"/>
    <s v="General"/>
    <x v="1"/>
    <x v="1"/>
    <n v="1"/>
    <n v="43502.85"/>
    <n v="20"/>
    <n v="43502.85"/>
    <n v="35410.61"/>
    <n v="8092.24"/>
    <x v="5"/>
    <x v="24"/>
    <x v="0"/>
    <x v="7"/>
    <x v="0"/>
  </r>
  <r>
    <s v="ORD00432"/>
    <s v="2024-04-10"/>
    <s v="Rahul Sharma"/>
    <x v="3"/>
    <s v="Bengaluru"/>
    <x v="3"/>
    <s v="Laptops"/>
    <x v="12"/>
    <x v="8"/>
    <n v="5"/>
    <n v="46770.01"/>
    <n v="30"/>
    <n v="233850.05"/>
    <n v="157174.32999999999"/>
    <n v="76675.72"/>
    <x v="5"/>
    <x v="36"/>
    <x v="0"/>
    <x v="9"/>
    <x v="0"/>
  </r>
  <r>
    <s v="ORD00433"/>
    <s v="2024-03-31"/>
    <s v="Rahul Sharma"/>
    <x v="6"/>
    <s v="Noida"/>
    <x v="3"/>
    <s v="Smartwatches"/>
    <x v="18"/>
    <x v="14"/>
    <n v="2"/>
    <n v="38160.980000000003"/>
    <n v="5"/>
    <n v="76321.960000000006"/>
    <n v="53194.07"/>
    <n v="23127.89"/>
    <x v="0"/>
    <x v="9"/>
    <x v="0"/>
    <x v="7"/>
    <x v="0"/>
  </r>
  <r>
    <s v="ORD00434"/>
    <s v="2025-01-25"/>
    <s v="Amit Kumar"/>
    <x v="3"/>
    <s v="Bengaluru"/>
    <x v="3"/>
    <s v="Laptops"/>
    <x v="20"/>
    <x v="13"/>
    <n v="2"/>
    <n v="14797.27"/>
    <n v="20"/>
    <n v="29594.54"/>
    <n v="22135.66"/>
    <n v="7458.88"/>
    <x v="1"/>
    <x v="20"/>
    <x v="1"/>
    <x v="6"/>
    <x v="1"/>
  </r>
  <r>
    <s v="ORD00435"/>
    <s v="2024-03-28"/>
    <s v="Sneha Iyer"/>
    <x v="0"/>
    <s v="New Delhi"/>
    <x v="2"/>
    <s v="Skincare"/>
    <x v="19"/>
    <x v="2"/>
    <n v="5"/>
    <n v="16951.57"/>
    <n v="25"/>
    <n v="84757.85"/>
    <n v="69124.97"/>
    <n v="15632.88"/>
    <x v="2"/>
    <x v="6"/>
    <x v="0"/>
    <x v="7"/>
    <x v="0"/>
  </r>
  <r>
    <s v="ORD00436"/>
    <s v="2024-10-27"/>
    <s v="Anjali Gupta"/>
    <x v="0"/>
    <s v="New Delhi"/>
    <x v="3"/>
    <s v="Laptops"/>
    <x v="12"/>
    <x v="12"/>
    <n v="2"/>
    <n v="20087.650000000001"/>
    <n v="10"/>
    <n v="40175.300000000003"/>
    <n v="26943.68"/>
    <n v="13231.62"/>
    <x v="2"/>
    <x v="29"/>
    <x v="0"/>
    <x v="4"/>
    <x v="0"/>
  </r>
  <r>
    <s v="ORD00437"/>
    <s v="2024-04-23"/>
    <s v="Priya Patel"/>
    <x v="2"/>
    <s v="Surat"/>
    <x v="2"/>
    <s v="Skincare"/>
    <x v="2"/>
    <x v="11"/>
    <n v="4"/>
    <n v="45544.54"/>
    <n v="20"/>
    <n v="182178.16"/>
    <n v="135730.66"/>
    <n v="46447.5"/>
    <x v="3"/>
    <x v="32"/>
    <x v="0"/>
    <x v="9"/>
    <x v="0"/>
  </r>
  <r>
    <s v="ORD00438"/>
    <s v="2024-12-23"/>
    <s v="Sneha Iyer"/>
    <x v="1"/>
    <s v="Kolkata"/>
    <x v="2"/>
    <s v="Makeup"/>
    <x v="19"/>
    <x v="11"/>
    <n v="1"/>
    <n v="4986.8999999999996"/>
    <n v="10"/>
    <n v="4986.8999999999996"/>
    <n v="3617.79"/>
    <n v="1369.11"/>
    <x v="3"/>
    <x v="2"/>
    <x v="0"/>
    <x v="1"/>
    <x v="0"/>
  </r>
  <r>
    <s v="ORD00439"/>
    <s v="2024-06-30"/>
    <s v="Rahul Sharma"/>
    <x v="1"/>
    <s v="Kolkata"/>
    <x v="4"/>
    <s v="Cookware"/>
    <x v="16"/>
    <x v="9"/>
    <n v="1"/>
    <n v="37890.559999999998"/>
    <n v="20"/>
    <n v="37890.559999999998"/>
    <n v="28637.200000000001"/>
    <n v="9253.36"/>
    <x v="3"/>
    <x v="7"/>
    <x v="0"/>
    <x v="10"/>
    <x v="0"/>
  </r>
  <r>
    <s v="ORD00440"/>
    <s v="2024-06-05"/>
    <s v="Karan Shah"/>
    <x v="4"/>
    <s v="Nagpur"/>
    <x v="3"/>
    <s v="Laptops"/>
    <x v="9"/>
    <x v="3"/>
    <n v="2"/>
    <n v="26947.54"/>
    <n v="25"/>
    <n v="53895.08"/>
    <n v="43964.49"/>
    <n v="9930.59"/>
    <x v="5"/>
    <x v="27"/>
    <x v="0"/>
    <x v="10"/>
    <x v="0"/>
  </r>
  <r>
    <s v="ORD00441"/>
    <s v="2024-03-17"/>
    <s v="Anjali Gupta"/>
    <x v="1"/>
    <s v="Kolkata"/>
    <x v="3"/>
    <s v="Smartphones"/>
    <x v="20"/>
    <x v="8"/>
    <n v="3"/>
    <n v="16929.740000000002"/>
    <n v="15"/>
    <n v="50789.22"/>
    <n v="39865.14"/>
    <n v="10924.08"/>
    <x v="2"/>
    <x v="39"/>
    <x v="0"/>
    <x v="7"/>
    <x v="0"/>
  </r>
  <r>
    <s v="ORD00442"/>
    <s v="2024-04-20"/>
    <s v="Pooja Nair"/>
    <x v="1"/>
    <s v="Kolkata"/>
    <x v="3"/>
    <s v="Laptops"/>
    <x v="12"/>
    <x v="14"/>
    <n v="3"/>
    <n v="30310.92"/>
    <n v="20"/>
    <n v="90932.76"/>
    <n v="71156.34"/>
    <n v="19776.419999999998"/>
    <x v="1"/>
    <x v="0"/>
    <x v="0"/>
    <x v="9"/>
    <x v="0"/>
  </r>
  <r>
    <s v="ORD00443"/>
    <s v="2024-06-16"/>
    <s v="Amit Kumar"/>
    <x v="7"/>
    <s v="Coimbatore"/>
    <x v="0"/>
    <s v="Fiction"/>
    <x v="0"/>
    <x v="7"/>
    <n v="5"/>
    <n v="33643.5"/>
    <n v="5"/>
    <n v="168217.5"/>
    <n v="136887.04999999999"/>
    <n v="31330.45"/>
    <x v="1"/>
    <x v="24"/>
    <x v="0"/>
    <x v="10"/>
    <x v="0"/>
  </r>
  <r>
    <s v="ORD00444"/>
    <s v="2024-09-16"/>
    <s v="Anjali Gupta"/>
    <x v="0"/>
    <s v="New Delhi"/>
    <x v="0"/>
    <s v="Fiction"/>
    <x v="14"/>
    <x v="0"/>
    <n v="3"/>
    <n v="27847.81"/>
    <n v="30"/>
    <n v="83543.429999999993"/>
    <n v="69211.12"/>
    <n v="14332.31"/>
    <x v="5"/>
    <x v="17"/>
    <x v="1"/>
    <x v="0"/>
    <x v="0"/>
  </r>
  <r>
    <s v="ORD00445"/>
    <s v="2024-08-25"/>
    <s v="Sneha Iyer"/>
    <x v="3"/>
    <s v="Bengaluru"/>
    <x v="0"/>
    <s v="Fiction"/>
    <x v="0"/>
    <x v="0"/>
    <n v="3"/>
    <n v="19055.03"/>
    <n v="30"/>
    <n v="57165.09"/>
    <n v="44783.199999999997"/>
    <n v="12381.89"/>
    <x v="4"/>
    <x v="17"/>
    <x v="0"/>
    <x v="11"/>
    <x v="0"/>
  </r>
  <r>
    <s v="ORD00446"/>
    <s v="2024-11-26"/>
    <s v="Arjun Mehta"/>
    <x v="0"/>
    <s v="New Delhi"/>
    <x v="0"/>
    <s v="Fiction"/>
    <x v="22"/>
    <x v="7"/>
    <n v="1"/>
    <n v="24012.7"/>
    <n v="25"/>
    <n v="24012.7"/>
    <n v="16766.48"/>
    <n v="7246.22"/>
    <x v="4"/>
    <x v="38"/>
    <x v="0"/>
    <x v="3"/>
    <x v="0"/>
  </r>
  <r>
    <s v="ORD00447"/>
    <s v="2024-08-04"/>
    <s v="Anjali Gupta"/>
    <x v="4"/>
    <s v="Nagpur"/>
    <x v="1"/>
    <s v="General"/>
    <x v="6"/>
    <x v="1"/>
    <n v="2"/>
    <n v="8182.19"/>
    <n v="30"/>
    <n v="16364.38"/>
    <n v="11628.16"/>
    <n v="4736.22"/>
    <x v="3"/>
    <x v="24"/>
    <x v="2"/>
    <x v="11"/>
    <x v="0"/>
  </r>
  <r>
    <s v="ORD00448"/>
    <s v="2024-04-06"/>
    <s v="Anjali Gupta"/>
    <x v="5"/>
    <s v="Hyderabad"/>
    <x v="2"/>
    <s v="Skincare"/>
    <x v="17"/>
    <x v="11"/>
    <n v="4"/>
    <n v="35810.629999999997"/>
    <n v="25"/>
    <n v="143242.51999999999"/>
    <n v="108660.99"/>
    <n v="34581.53"/>
    <x v="1"/>
    <x v="12"/>
    <x v="0"/>
    <x v="9"/>
    <x v="0"/>
  </r>
  <r>
    <s v="ORD00449"/>
    <s v="2024-08-17"/>
    <s v="Rohit Verma"/>
    <x v="3"/>
    <s v="Bengaluru"/>
    <x v="1"/>
    <s v="General"/>
    <x v="15"/>
    <x v="1"/>
    <n v="1"/>
    <n v="23433.86"/>
    <n v="15"/>
    <n v="23433.86"/>
    <n v="15766.79"/>
    <n v="7667.07"/>
    <x v="3"/>
    <x v="28"/>
    <x v="0"/>
    <x v="11"/>
    <x v="0"/>
  </r>
  <r>
    <s v="ORD00450"/>
    <s v="2024-08-31"/>
    <s v="Neha Singh"/>
    <x v="6"/>
    <s v="Noida"/>
    <x v="3"/>
    <s v="Laptops"/>
    <x v="9"/>
    <x v="12"/>
    <n v="4"/>
    <n v="42946.11"/>
    <n v="30"/>
    <n v="171784.44"/>
    <n v="134734.68"/>
    <n v="37049.760000000002"/>
    <x v="1"/>
    <x v="3"/>
    <x v="0"/>
    <x v="11"/>
    <x v="0"/>
  </r>
  <r>
    <s v="ORD00451"/>
    <s v="2024-05-26"/>
    <s v="Rohit Verma"/>
    <x v="6"/>
    <s v="Noida"/>
    <x v="1"/>
    <s v="General"/>
    <x v="6"/>
    <x v="1"/>
    <n v="4"/>
    <n v="3995.44"/>
    <n v="20"/>
    <n v="15981.76"/>
    <n v="13445.19"/>
    <n v="2536.5700000000002"/>
    <x v="0"/>
    <x v="9"/>
    <x v="0"/>
    <x v="2"/>
    <x v="0"/>
  </r>
  <r>
    <s v="ORD00452"/>
    <s v="2024-10-05"/>
    <s v="Anjali Gupta"/>
    <x v="7"/>
    <s v="Coimbatore"/>
    <x v="2"/>
    <s v="Skincare"/>
    <x v="2"/>
    <x v="2"/>
    <n v="1"/>
    <n v="38728.75"/>
    <n v="15"/>
    <n v="38728.75"/>
    <n v="26137.17"/>
    <n v="12591.58"/>
    <x v="2"/>
    <x v="9"/>
    <x v="0"/>
    <x v="4"/>
    <x v="0"/>
  </r>
  <r>
    <s v="ORD00453"/>
    <s v="2024-09-07"/>
    <s v="Arjun Mehta"/>
    <x v="3"/>
    <s v="Mysuru"/>
    <x v="1"/>
    <s v="General"/>
    <x v="8"/>
    <x v="1"/>
    <n v="3"/>
    <n v="46205.47"/>
    <n v="20"/>
    <n v="138616.41"/>
    <n v="109455.88"/>
    <n v="29160.53"/>
    <x v="4"/>
    <x v="29"/>
    <x v="0"/>
    <x v="0"/>
    <x v="0"/>
  </r>
  <r>
    <s v="ORD00454"/>
    <s v="2024-07-18"/>
    <s v="Karan Shah"/>
    <x v="7"/>
    <s v="Chennai"/>
    <x v="1"/>
    <s v="General"/>
    <x v="1"/>
    <x v="1"/>
    <n v="3"/>
    <n v="7631.48"/>
    <n v="10"/>
    <n v="22894.44"/>
    <n v="17422.91"/>
    <n v="5471.53"/>
    <x v="0"/>
    <x v="32"/>
    <x v="0"/>
    <x v="5"/>
    <x v="0"/>
  </r>
  <r>
    <s v="ORD00455"/>
    <s v="2024-05-24"/>
    <s v="Sneha Iyer"/>
    <x v="6"/>
    <s v="Lucknow"/>
    <x v="0"/>
    <s v="Educational"/>
    <x v="13"/>
    <x v="7"/>
    <n v="4"/>
    <n v="4581.7299999999996"/>
    <n v="15"/>
    <n v="18326.919999999998"/>
    <n v="15420.03"/>
    <n v="2906.89"/>
    <x v="4"/>
    <x v="20"/>
    <x v="0"/>
    <x v="2"/>
    <x v="0"/>
  </r>
  <r>
    <s v="ORD00456"/>
    <s v="2024-08-27"/>
    <s v="Neha Singh"/>
    <x v="4"/>
    <s v="Pune"/>
    <x v="3"/>
    <s v="Smartwatches"/>
    <x v="9"/>
    <x v="5"/>
    <n v="3"/>
    <n v="9761.64"/>
    <n v="15"/>
    <n v="29284.92"/>
    <n v="20143.72"/>
    <n v="9141.2000000000007"/>
    <x v="2"/>
    <x v="15"/>
    <x v="0"/>
    <x v="11"/>
    <x v="0"/>
  </r>
  <r>
    <s v="ORD00457"/>
    <s v="2024-09-10"/>
    <s v="Arjun Mehta"/>
    <x v="1"/>
    <s v="Kolkata"/>
    <x v="2"/>
    <s v="Makeup"/>
    <x v="17"/>
    <x v="11"/>
    <n v="3"/>
    <n v="1582.84"/>
    <n v="15"/>
    <n v="4748.5200000000004"/>
    <n v="3722.31"/>
    <n v="1026.21"/>
    <x v="0"/>
    <x v="36"/>
    <x v="0"/>
    <x v="0"/>
    <x v="0"/>
  </r>
  <r>
    <s v="ORD00458"/>
    <s v="2025-01-08"/>
    <s v="Pooja Nair"/>
    <x v="6"/>
    <s v="Noida"/>
    <x v="3"/>
    <s v="Laptops"/>
    <x v="18"/>
    <x v="5"/>
    <n v="5"/>
    <n v="8902.26"/>
    <n v="30"/>
    <n v="44511.3"/>
    <n v="29566.68"/>
    <n v="14944.62"/>
    <x v="0"/>
    <x v="7"/>
    <x v="0"/>
    <x v="6"/>
    <x v="1"/>
  </r>
  <r>
    <s v="ORD00459"/>
    <s v="2024-11-27"/>
    <s v="Sneha Iyer"/>
    <x v="4"/>
    <s v="Pune"/>
    <x v="4"/>
    <s v="Cookware"/>
    <x v="23"/>
    <x v="4"/>
    <n v="1"/>
    <n v="1549.63"/>
    <n v="25"/>
    <n v="1549.63"/>
    <n v="1226.57"/>
    <n v="323.06"/>
    <x v="3"/>
    <x v="32"/>
    <x v="0"/>
    <x v="3"/>
    <x v="0"/>
  </r>
  <r>
    <s v="ORD00460"/>
    <s v="2024-04-26"/>
    <s v="Karan Shah"/>
    <x v="7"/>
    <s v="Chennai"/>
    <x v="0"/>
    <s v="Fiction"/>
    <x v="0"/>
    <x v="7"/>
    <n v="5"/>
    <n v="23520.5"/>
    <n v="10"/>
    <n v="117602.5"/>
    <n v="86230.79"/>
    <n v="31371.71"/>
    <x v="0"/>
    <x v="12"/>
    <x v="0"/>
    <x v="9"/>
    <x v="0"/>
  </r>
  <r>
    <s v="ORD00461"/>
    <s v="2024-04-03"/>
    <s v="Pooja Nair"/>
    <x v="7"/>
    <s v="Chennai"/>
    <x v="2"/>
    <s v="Skincare"/>
    <x v="2"/>
    <x v="11"/>
    <n v="1"/>
    <n v="18729.61"/>
    <n v="30"/>
    <n v="18729.61"/>
    <n v="15861.35"/>
    <n v="2868.26"/>
    <x v="3"/>
    <x v="34"/>
    <x v="0"/>
    <x v="9"/>
    <x v="0"/>
  </r>
  <r>
    <s v="ORD00462"/>
    <s v="2024-07-12"/>
    <s v="Pooja Nair"/>
    <x v="0"/>
    <s v="New Delhi"/>
    <x v="0"/>
    <s v="Educational"/>
    <x v="22"/>
    <x v="7"/>
    <n v="3"/>
    <n v="18085.73"/>
    <n v="25"/>
    <n v="54257.19"/>
    <n v="40998.21"/>
    <n v="13258.98"/>
    <x v="5"/>
    <x v="27"/>
    <x v="0"/>
    <x v="5"/>
    <x v="0"/>
  </r>
  <r>
    <s v="ORD00463"/>
    <s v="2024-06-28"/>
    <s v="Karan Shah"/>
    <x v="2"/>
    <s v="Surat"/>
    <x v="2"/>
    <s v="Skincare"/>
    <x v="11"/>
    <x v="2"/>
    <n v="3"/>
    <n v="29844.59"/>
    <n v="30"/>
    <n v="89533.77"/>
    <n v="60353.96"/>
    <n v="29179.81"/>
    <x v="4"/>
    <x v="1"/>
    <x v="0"/>
    <x v="10"/>
    <x v="0"/>
  </r>
  <r>
    <s v="ORD00464"/>
    <s v="2024-11-23"/>
    <s v="Anjali Gupta"/>
    <x v="4"/>
    <s v="Mumbai"/>
    <x v="3"/>
    <s v="Laptops"/>
    <x v="9"/>
    <x v="5"/>
    <n v="2"/>
    <n v="12964.52"/>
    <n v="15"/>
    <n v="25929.040000000001"/>
    <n v="19505.55"/>
    <n v="6423.49"/>
    <x v="2"/>
    <x v="29"/>
    <x v="0"/>
    <x v="3"/>
    <x v="0"/>
  </r>
  <r>
    <s v="ORD00465"/>
    <s v="2024-06-20"/>
    <s v="Anjali Gupta"/>
    <x v="4"/>
    <s v="Pune"/>
    <x v="3"/>
    <s v="Smartwatches"/>
    <x v="9"/>
    <x v="14"/>
    <n v="5"/>
    <n v="43431.64"/>
    <n v="25"/>
    <n v="217158.2"/>
    <n v="169391.61"/>
    <n v="47766.59"/>
    <x v="4"/>
    <x v="2"/>
    <x v="0"/>
    <x v="10"/>
    <x v="0"/>
  </r>
  <r>
    <s v="ORD00466"/>
    <s v="2024-07-22"/>
    <s v="Karan Shah"/>
    <x v="6"/>
    <s v="Lucknow"/>
    <x v="3"/>
    <s v="Smartphones"/>
    <x v="3"/>
    <x v="13"/>
    <n v="4"/>
    <n v="31005.06"/>
    <n v="20"/>
    <n v="124020.24"/>
    <n v="87791.47"/>
    <n v="36228.769999999997"/>
    <x v="5"/>
    <x v="9"/>
    <x v="0"/>
    <x v="5"/>
    <x v="0"/>
  </r>
  <r>
    <s v="ORD00467"/>
    <s v="2024-11-21"/>
    <s v="Priya Patel"/>
    <x v="2"/>
    <s v="Surat"/>
    <x v="2"/>
    <s v="Skincare"/>
    <x v="2"/>
    <x v="11"/>
    <n v="3"/>
    <n v="16010.24"/>
    <n v="15"/>
    <n v="48030.720000000001"/>
    <n v="31290.52"/>
    <n v="16740.2"/>
    <x v="5"/>
    <x v="14"/>
    <x v="0"/>
    <x v="3"/>
    <x v="0"/>
  </r>
  <r>
    <s v="ORD00468"/>
    <s v="2024-09-12"/>
    <s v="Neha Singh"/>
    <x v="3"/>
    <s v="Bengaluru"/>
    <x v="3"/>
    <s v="Headphones"/>
    <x v="20"/>
    <x v="3"/>
    <n v="5"/>
    <n v="18451.91"/>
    <n v="20"/>
    <n v="92259.55"/>
    <n v="60370.14"/>
    <n v="31889.41"/>
    <x v="1"/>
    <x v="35"/>
    <x v="0"/>
    <x v="0"/>
    <x v="0"/>
  </r>
  <r>
    <s v="ORD00469"/>
    <s v="2024-02-19"/>
    <s v="Pooja Nair"/>
    <x v="7"/>
    <s v="Chennai"/>
    <x v="3"/>
    <s v="Headphones"/>
    <x v="3"/>
    <x v="13"/>
    <n v="4"/>
    <n v="31793.09"/>
    <n v="15"/>
    <n v="127172.36"/>
    <n v="90076.04"/>
    <n v="37096.32"/>
    <x v="3"/>
    <x v="38"/>
    <x v="2"/>
    <x v="8"/>
    <x v="0"/>
  </r>
  <r>
    <s v="ORD00470"/>
    <s v="2024-09-28"/>
    <s v="Karan Shah"/>
    <x v="4"/>
    <s v="Mumbai"/>
    <x v="1"/>
    <s v="General"/>
    <x v="15"/>
    <x v="1"/>
    <n v="4"/>
    <n v="36666.620000000003"/>
    <n v="5"/>
    <n v="146666.48000000001"/>
    <n v="116959.27"/>
    <n v="29707.21"/>
    <x v="5"/>
    <x v="37"/>
    <x v="0"/>
    <x v="0"/>
    <x v="0"/>
  </r>
  <r>
    <s v="ORD00471"/>
    <s v="2024-07-17"/>
    <s v="Rahul Sharma"/>
    <x v="1"/>
    <s v="Kolkata"/>
    <x v="3"/>
    <s v="Headphones"/>
    <x v="12"/>
    <x v="5"/>
    <n v="1"/>
    <n v="38681.26"/>
    <n v="20"/>
    <n v="38681.26"/>
    <n v="29137.66"/>
    <n v="9543.6"/>
    <x v="3"/>
    <x v="6"/>
    <x v="0"/>
    <x v="5"/>
    <x v="0"/>
  </r>
  <r>
    <s v="ORD00472"/>
    <s v="2024-07-24"/>
    <s v="Priya Patel"/>
    <x v="6"/>
    <s v="Lucknow"/>
    <x v="4"/>
    <s v="Cookware"/>
    <x v="4"/>
    <x v="10"/>
    <n v="3"/>
    <n v="29493.06"/>
    <n v="30"/>
    <n v="88479.18"/>
    <n v="74527.73"/>
    <n v="13951.45"/>
    <x v="4"/>
    <x v="24"/>
    <x v="0"/>
    <x v="5"/>
    <x v="0"/>
  </r>
  <r>
    <s v="ORD00473"/>
    <s v="2024-06-13"/>
    <s v="Arjun Mehta"/>
    <x v="2"/>
    <s v="Surat"/>
    <x v="4"/>
    <s v="Cookware"/>
    <x v="16"/>
    <x v="9"/>
    <n v="2"/>
    <n v="30009.200000000001"/>
    <n v="20"/>
    <n v="60018.400000000001"/>
    <n v="41940.65"/>
    <n v="18077.75"/>
    <x v="0"/>
    <x v="32"/>
    <x v="0"/>
    <x v="10"/>
    <x v="0"/>
  </r>
  <r>
    <s v="ORD00474"/>
    <s v="2024-09-29"/>
    <s v="Amit Kumar"/>
    <x v="4"/>
    <s v="Mumbai"/>
    <x v="1"/>
    <s v="General"/>
    <x v="15"/>
    <x v="1"/>
    <n v="2"/>
    <n v="23089.32"/>
    <n v="5"/>
    <n v="46178.64"/>
    <n v="34311.949999999997"/>
    <n v="11866.69"/>
    <x v="5"/>
    <x v="4"/>
    <x v="1"/>
    <x v="0"/>
    <x v="0"/>
  </r>
  <r>
    <s v="ORD00475"/>
    <s v="2024-04-28"/>
    <s v="Anjali Gupta"/>
    <x v="7"/>
    <s v="Coimbatore"/>
    <x v="4"/>
    <s v="Cookware"/>
    <x v="23"/>
    <x v="9"/>
    <n v="4"/>
    <n v="32460.13"/>
    <n v="15"/>
    <n v="129840.52"/>
    <n v="101038.82"/>
    <n v="28801.7"/>
    <x v="4"/>
    <x v="13"/>
    <x v="0"/>
    <x v="9"/>
    <x v="0"/>
  </r>
  <r>
    <s v="ORD00476"/>
    <s v="2024-12-15"/>
    <s v="Anjali Gupta"/>
    <x v="3"/>
    <s v="Bengaluru"/>
    <x v="3"/>
    <s v="Smartphones"/>
    <x v="3"/>
    <x v="5"/>
    <n v="3"/>
    <n v="29509.14"/>
    <n v="30"/>
    <n v="88527.42"/>
    <n v="69191.41"/>
    <n v="19336.009999999998"/>
    <x v="5"/>
    <x v="27"/>
    <x v="0"/>
    <x v="1"/>
    <x v="0"/>
  </r>
  <r>
    <s v="ORD00477"/>
    <s v="2024-09-11"/>
    <s v="Pooja Nair"/>
    <x v="2"/>
    <s v="Ahmedabad"/>
    <x v="0"/>
    <s v="Fiction"/>
    <x v="0"/>
    <x v="7"/>
    <n v="3"/>
    <n v="5528.69"/>
    <n v="20"/>
    <n v="16586.07"/>
    <n v="10938.38"/>
    <n v="5647.69"/>
    <x v="0"/>
    <x v="24"/>
    <x v="0"/>
    <x v="0"/>
    <x v="0"/>
  </r>
  <r>
    <s v="ORD00478"/>
    <s v="2024-09-13"/>
    <s v="Neha Singh"/>
    <x v="6"/>
    <s v="Lucknow"/>
    <x v="0"/>
    <s v="Fiction"/>
    <x v="21"/>
    <x v="0"/>
    <n v="5"/>
    <n v="11864.67"/>
    <n v="20"/>
    <n v="59323.35"/>
    <n v="42034.09"/>
    <n v="17289.259999999998"/>
    <x v="5"/>
    <x v="18"/>
    <x v="0"/>
    <x v="0"/>
    <x v="0"/>
  </r>
  <r>
    <s v="ORD00479"/>
    <s v="2024-12-19"/>
    <s v="Karan Shah"/>
    <x v="2"/>
    <s v="Surat"/>
    <x v="4"/>
    <s v="Cookware"/>
    <x v="23"/>
    <x v="4"/>
    <n v="2"/>
    <n v="14273.74"/>
    <n v="30"/>
    <n v="28547.48"/>
    <n v="23573.63"/>
    <n v="4973.8500000000004"/>
    <x v="5"/>
    <x v="28"/>
    <x v="0"/>
    <x v="1"/>
    <x v="0"/>
  </r>
  <r>
    <s v="ORD00480"/>
    <s v="2024-07-19"/>
    <s v="Amit Kumar"/>
    <x v="0"/>
    <s v="New Delhi"/>
    <x v="0"/>
    <s v="Educational"/>
    <x v="0"/>
    <x v="7"/>
    <n v="3"/>
    <n v="26806.06"/>
    <n v="25"/>
    <n v="80418.179999999993"/>
    <n v="61145.53"/>
    <n v="19272.650000000001"/>
    <x v="2"/>
    <x v="17"/>
    <x v="0"/>
    <x v="5"/>
    <x v="0"/>
  </r>
  <r>
    <s v="ORD00481"/>
    <s v="2024-11-16"/>
    <s v="Amit Kumar"/>
    <x v="5"/>
    <s v="Hyderabad"/>
    <x v="1"/>
    <s v="General"/>
    <x v="8"/>
    <x v="1"/>
    <n v="4"/>
    <n v="18757.07"/>
    <n v="10"/>
    <n v="75028.28"/>
    <n v="63753.95"/>
    <n v="11274.33"/>
    <x v="1"/>
    <x v="24"/>
    <x v="0"/>
    <x v="3"/>
    <x v="0"/>
  </r>
  <r>
    <s v="ORD00482"/>
    <s v="2024-06-01"/>
    <s v="Amit Kumar"/>
    <x v="0"/>
    <s v="New Delhi"/>
    <x v="0"/>
    <s v="Educational"/>
    <x v="22"/>
    <x v="7"/>
    <n v="4"/>
    <n v="19661.09"/>
    <n v="25"/>
    <n v="78644.36"/>
    <n v="61579.02"/>
    <n v="17065.34"/>
    <x v="5"/>
    <x v="15"/>
    <x v="2"/>
    <x v="10"/>
    <x v="0"/>
  </r>
  <r>
    <s v="ORD00483"/>
    <s v="2024-03-02"/>
    <s v="Neha Singh"/>
    <x v="3"/>
    <s v="Mysuru"/>
    <x v="0"/>
    <s v="Educational"/>
    <x v="22"/>
    <x v="0"/>
    <n v="1"/>
    <n v="27434.25"/>
    <n v="20"/>
    <n v="27434.25"/>
    <n v="20898.669999999998"/>
    <n v="6535.58"/>
    <x v="3"/>
    <x v="28"/>
    <x v="0"/>
    <x v="7"/>
    <x v="0"/>
  </r>
  <r>
    <s v="ORD00484"/>
    <s v="2024-08-30"/>
    <s v="Rahul Sharma"/>
    <x v="2"/>
    <s v="Surat"/>
    <x v="0"/>
    <s v="Fiction"/>
    <x v="0"/>
    <x v="7"/>
    <n v="4"/>
    <n v="6322.42"/>
    <n v="10"/>
    <n v="25289.68"/>
    <n v="21400.93"/>
    <n v="3888.75"/>
    <x v="1"/>
    <x v="9"/>
    <x v="0"/>
    <x v="11"/>
    <x v="0"/>
  </r>
  <r>
    <s v="ORD00485"/>
    <s v="2024-05-02"/>
    <s v="Rohit Verma"/>
    <x v="4"/>
    <s v="Pune"/>
    <x v="0"/>
    <s v="Educational"/>
    <x v="13"/>
    <x v="0"/>
    <n v="2"/>
    <n v="4316.82"/>
    <n v="30"/>
    <n v="8633.64"/>
    <n v="5940.34"/>
    <n v="2693.3"/>
    <x v="4"/>
    <x v="22"/>
    <x v="0"/>
    <x v="2"/>
    <x v="0"/>
  </r>
  <r>
    <s v="ORD00486"/>
    <s v="2024-10-31"/>
    <s v="Priya Patel"/>
    <x v="6"/>
    <s v="Noida"/>
    <x v="1"/>
    <s v="General"/>
    <x v="24"/>
    <x v="1"/>
    <n v="4"/>
    <n v="45426.39"/>
    <n v="30"/>
    <n v="181705.56"/>
    <n v="149841.18"/>
    <n v="31864.38"/>
    <x v="5"/>
    <x v="18"/>
    <x v="2"/>
    <x v="4"/>
    <x v="0"/>
  </r>
  <r>
    <s v="ORD00487"/>
    <s v="2024-06-02"/>
    <s v="Karan Shah"/>
    <x v="4"/>
    <s v="Nagpur"/>
    <x v="3"/>
    <s v="Headphones"/>
    <x v="18"/>
    <x v="14"/>
    <n v="3"/>
    <n v="14971.45"/>
    <n v="5"/>
    <n v="44914.35"/>
    <n v="34247.82"/>
    <n v="10666.53"/>
    <x v="1"/>
    <x v="16"/>
    <x v="0"/>
    <x v="10"/>
    <x v="0"/>
  </r>
  <r>
    <s v="ORD00488"/>
    <s v="2024-08-27"/>
    <s v="Sneha Iyer"/>
    <x v="0"/>
    <s v="New Delhi"/>
    <x v="4"/>
    <s v="Storage"/>
    <x v="16"/>
    <x v="9"/>
    <n v="2"/>
    <n v="12245.12"/>
    <n v="30"/>
    <n v="24490.240000000002"/>
    <n v="16268.97"/>
    <n v="8221.27"/>
    <x v="3"/>
    <x v="16"/>
    <x v="0"/>
    <x v="11"/>
    <x v="0"/>
  </r>
  <r>
    <s v="ORD00489"/>
    <s v="2024-03-31"/>
    <s v="Anjali Gupta"/>
    <x v="1"/>
    <s v="Kolkata"/>
    <x v="0"/>
    <s v="Educational"/>
    <x v="14"/>
    <x v="0"/>
    <n v="4"/>
    <n v="48405.89"/>
    <n v="15"/>
    <n v="193623.56"/>
    <n v="145348.66"/>
    <n v="48274.9"/>
    <x v="2"/>
    <x v="35"/>
    <x v="0"/>
    <x v="7"/>
    <x v="0"/>
  </r>
  <r>
    <s v="ORD00490"/>
    <s v="2024-11-19"/>
    <s v="Anjali Gupta"/>
    <x v="2"/>
    <s v="Ahmedabad"/>
    <x v="2"/>
    <s v="Skincare"/>
    <x v="17"/>
    <x v="2"/>
    <n v="5"/>
    <n v="12757.67"/>
    <n v="15"/>
    <n v="63788.35"/>
    <n v="48644.89"/>
    <n v="15143.46"/>
    <x v="1"/>
    <x v="26"/>
    <x v="2"/>
    <x v="3"/>
    <x v="0"/>
  </r>
  <r>
    <s v="ORD00491"/>
    <s v="2024-10-05"/>
    <s v="Anjali Gupta"/>
    <x v="0"/>
    <s v="New Delhi"/>
    <x v="1"/>
    <s v="General"/>
    <x v="24"/>
    <x v="1"/>
    <n v="2"/>
    <n v="33071.089999999997"/>
    <n v="5"/>
    <n v="66142.179999999993"/>
    <n v="44115.71"/>
    <n v="22026.47"/>
    <x v="3"/>
    <x v="0"/>
    <x v="0"/>
    <x v="4"/>
    <x v="0"/>
  </r>
  <r>
    <s v="ORD00492"/>
    <s v="2024-04-04"/>
    <s v="Rohit Verma"/>
    <x v="2"/>
    <s v="Surat"/>
    <x v="2"/>
    <s v="Makeup"/>
    <x v="17"/>
    <x v="11"/>
    <n v="1"/>
    <n v="4869.5600000000004"/>
    <n v="5"/>
    <n v="4869.5600000000004"/>
    <n v="3426.52"/>
    <n v="1443.04"/>
    <x v="1"/>
    <x v="30"/>
    <x v="0"/>
    <x v="9"/>
    <x v="0"/>
  </r>
  <r>
    <s v="ORD00493"/>
    <s v="2025-01-15"/>
    <s v="Anjali Gupta"/>
    <x v="0"/>
    <s v="New Delhi"/>
    <x v="1"/>
    <s v="General"/>
    <x v="15"/>
    <x v="1"/>
    <n v="4"/>
    <n v="45127.31"/>
    <n v="15"/>
    <n v="180509.24"/>
    <n v="147188.07"/>
    <n v="33321.17"/>
    <x v="3"/>
    <x v="24"/>
    <x v="0"/>
    <x v="6"/>
    <x v="1"/>
  </r>
  <r>
    <s v="ORD00494"/>
    <s v="2024-10-01"/>
    <s v="Amit Kumar"/>
    <x v="5"/>
    <s v="Hyderabad"/>
    <x v="4"/>
    <s v="Storage"/>
    <x v="16"/>
    <x v="9"/>
    <n v="1"/>
    <n v="8867.7199999999993"/>
    <n v="15"/>
    <n v="8867.7199999999993"/>
    <n v="6648.1"/>
    <n v="2219.62"/>
    <x v="5"/>
    <x v="17"/>
    <x v="0"/>
    <x v="4"/>
    <x v="0"/>
  </r>
  <r>
    <s v="ORD00495"/>
    <s v="2024-05-25"/>
    <s v="Sneha Iyer"/>
    <x v="1"/>
    <s v="Kolkata"/>
    <x v="4"/>
    <s v="Cookware"/>
    <x v="4"/>
    <x v="4"/>
    <n v="1"/>
    <n v="31749.94"/>
    <n v="15"/>
    <n v="31749.94"/>
    <n v="23183.91"/>
    <n v="8566.0300000000007"/>
    <x v="3"/>
    <x v="4"/>
    <x v="0"/>
    <x v="2"/>
    <x v="0"/>
  </r>
  <r>
    <s v="ORD00496"/>
    <s v="2024-11-03"/>
    <s v="Sneha Iyer"/>
    <x v="0"/>
    <s v="New Delhi"/>
    <x v="2"/>
    <s v="Skincare"/>
    <x v="19"/>
    <x v="11"/>
    <n v="2"/>
    <n v="40944.769999999997"/>
    <n v="25"/>
    <n v="81889.539999999994"/>
    <n v="67228.350000000006"/>
    <n v="14661.19"/>
    <x v="4"/>
    <x v="36"/>
    <x v="0"/>
    <x v="3"/>
    <x v="0"/>
  </r>
  <r>
    <s v="ORD00497"/>
    <s v="2024-04-24"/>
    <s v="Priya Patel"/>
    <x v="3"/>
    <s v="Bengaluru"/>
    <x v="4"/>
    <s v="Storage"/>
    <x v="7"/>
    <x v="4"/>
    <n v="4"/>
    <n v="20859.61"/>
    <n v="5"/>
    <n v="83438.44"/>
    <n v="70378.75"/>
    <n v="13059.69"/>
    <x v="2"/>
    <x v="35"/>
    <x v="0"/>
    <x v="9"/>
    <x v="0"/>
  </r>
  <r>
    <s v="ORD00498"/>
    <s v="2024-08-12"/>
    <s v="Karan Shah"/>
    <x v="2"/>
    <s v="Ahmedabad"/>
    <x v="0"/>
    <s v="Educational"/>
    <x v="0"/>
    <x v="0"/>
    <n v="5"/>
    <n v="6884.74"/>
    <n v="10"/>
    <n v="34423.699999999997"/>
    <n v="24174.41"/>
    <n v="10249.290000000001"/>
    <x v="5"/>
    <x v="23"/>
    <x v="0"/>
    <x v="11"/>
    <x v="0"/>
  </r>
  <r>
    <s v="ORD00499"/>
    <s v="2024-07-21"/>
    <s v="Amit Kumar"/>
    <x v="6"/>
    <s v="Noida"/>
    <x v="1"/>
    <s v="General"/>
    <x v="1"/>
    <x v="1"/>
    <n v="3"/>
    <n v="40238.5"/>
    <n v="25"/>
    <n v="120715.5"/>
    <n v="88944.97"/>
    <n v="31770.53"/>
    <x v="2"/>
    <x v="1"/>
    <x v="0"/>
    <x v="5"/>
    <x v="0"/>
  </r>
  <r>
    <s v="ORD00500"/>
    <s v="2024-06-26"/>
    <s v="Anjali Gupta"/>
    <x v="7"/>
    <s v="Chennai"/>
    <x v="3"/>
    <s v="Headphones"/>
    <x v="12"/>
    <x v="12"/>
    <n v="5"/>
    <n v="10422.280000000001"/>
    <n v="30"/>
    <n v="52111.4"/>
    <n v="42799.6"/>
    <n v="9311.7999999999993"/>
    <x v="5"/>
    <x v="0"/>
    <x v="0"/>
    <x v="10"/>
    <x v="0"/>
  </r>
  <r>
    <s v="ORD00501"/>
    <s v="2024-12-31"/>
    <s v="Amit Kumar"/>
    <x v="7"/>
    <s v="Chennai"/>
    <x v="0"/>
    <s v="Fiction"/>
    <x v="22"/>
    <x v="0"/>
    <n v="1"/>
    <n v="13862.56"/>
    <n v="10"/>
    <n v="13862.56"/>
    <n v="10958.76"/>
    <n v="2903.8"/>
    <x v="2"/>
    <x v="14"/>
    <x v="0"/>
    <x v="1"/>
    <x v="0"/>
  </r>
  <r>
    <s v="ORD00502"/>
    <s v="2024-09-12"/>
    <s v="Pooja Nair"/>
    <x v="0"/>
    <s v="New Delhi"/>
    <x v="2"/>
    <s v="Makeup"/>
    <x v="2"/>
    <x v="11"/>
    <n v="4"/>
    <n v="35911.22"/>
    <n v="25"/>
    <n v="143644.88"/>
    <n v="116138.13"/>
    <n v="27506.75"/>
    <x v="4"/>
    <x v="27"/>
    <x v="0"/>
    <x v="0"/>
    <x v="0"/>
  </r>
  <r>
    <s v="ORD00503"/>
    <s v="2024-08-17"/>
    <s v="Pooja Nair"/>
    <x v="6"/>
    <s v="Noida"/>
    <x v="1"/>
    <s v="General"/>
    <x v="8"/>
    <x v="1"/>
    <n v="3"/>
    <n v="16523.689999999999"/>
    <n v="30"/>
    <n v="49571.07"/>
    <n v="34718.33"/>
    <n v="14852.74"/>
    <x v="4"/>
    <x v="18"/>
    <x v="0"/>
    <x v="11"/>
    <x v="0"/>
  </r>
  <r>
    <s v="ORD00504"/>
    <s v="2024-04-20"/>
    <s v="Priya Patel"/>
    <x v="1"/>
    <s v="Kolkata"/>
    <x v="2"/>
    <s v="Makeup"/>
    <x v="11"/>
    <x v="6"/>
    <n v="5"/>
    <n v="6566.03"/>
    <n v="20"/>
    <n v="32830.15"/>
    <n v="22432.71"/>
    <n v="10397.44"/>
    <x v="3"/>
    <x v="8"/>
    <x v="0"/>
    <x v="9"/>
    <x v="0"/>
  </r>
  <r>
    <s v="ORD00505"/>
    <s v="2025-02-01"/>
    <s v="Rohit Verma"/>
    <x v="0"/>
    <s v="New Delhi"/>
    <x v="4"/>
    <s v="Cookware"/>
    <x v="16"/>
    <x v="10"/>
    <n v="3"/>
    <n v="18799.05"/>
    <n v="15"/>
    <n v="56397.15"/>
    <n v="40856.42"/>
    <n v="15540.73"/>
    <x v="1"/>
    <x v="17"/>
    <x v="0"/>
    <x v="8"/>
    <x v="1"/>
  </r>
  <r>
    <s v="ORD00506"/>
    <s v="2024-04-13"/>
    <s v="Rohit Verma"/>
    <x v="7"/>
    <s v="Coimbatore"/>
    <x v="3"/>
    <s v="Smartwatches"/>
    <x v="20"/>
    <x v="13"/>
    <n v="5"/>
    <n v="8436.7099999999991"/>
    <n v="15"/>
    <n v="42183.55"/>
    <n v="29327.66"/>
    <n v="12855.89"/>
    <x v="2"/>
    <x v="35"/>
    <x v="0"/>
    <x v="9"/>
    <x v="0"/>
  </r>
  <r>
    <s v="ORD00507"/>
    <s v="2024-06-23"/>
    <s v="Priya Patel"/>
    <x v="1"/>
    <s v="Kolkata"/>
    <x v="4"/>
    <s v="Cookware"/>
    <x v="4"/>
    <x v="4"/>
    <n v="4"/>
    <n v="19380.5"/>
    <n v="30"/>
    <n v="77522"/>
    <n v="63810.28"/>
    <n v="13711.72"/>
    <x v="1"/>
    <x v="26"/>
    <x v="0"/>
    <x v="10"/>
    <x v="0"/>
  </r>
  <r>
    <s v="ORD00508"/>
    <s v="2025-02-01"/>
    <s v="Rahul Sharma"/>
    <x v="4"/>
    <s v="Mumbai"/>
    <x v="2"/>
    <s v="Makeup"/>
    <x v="11"/>
    <x v="2"/>
    <n v="3"/>
    <n v="20228.05"/>
    <n v="10"/>
    <n v="60684.15"/>
    <n v="40964.93"/>
    <n v="19719.22"/>
    <x v="1"/>
    <x v="12"/>
    <x v="0"/>
    <x v="8"/>
    <x v="1"/>
  </r>
  <r>
    <s v="ORD00509"/>
    <s v="2024-08-16"/>
    <s v="Neha Singh"/>
    <x v="4"/>
    <s v="Nagpur"/>
    <x v="3"/>
    <s v="Laptops"/>
    <x v="18"/>
    <x v="13"/>
    <n v="5"/>
    <n v="28606.86"/>
    <n v="5"/>
    <n v="143034.29999999999"/>
    <n v="115262.02"/>
    <n v="27772.28"/>
    <x v="1"/>
    <x v="38"/>
    <x v="0"/>
    <x v="11"/>
    <x v="0"/>
  </r>
  <r>
    <s v="ORD00510"/>
    <s v="2024-05-26"/>
    <s v="Rohit Verma"/>
    <x v="7"/>
    <s v="Coimbatore"/>
    <x v="0"/>
    <s v="Fiction"/>
    <x v="21"/>
    <x v="0"/>
    <n v="4"/>
    <n v="16803.759999999998"/>
    <n v="20"/>
    <n v="67215.039999999994"/>
    <n v="49120.43"/>
    <n v="18094.61"/>
    <x v="2"/>
    <x v="9"/>
    <x v="1"/>
    <x v="2"/>
    <x v="0"/>
  </r>
  <r>
    <s v="ORD00511"/>
    <s v="2025-01-21"/>
    <s v="Neha Singh"/>
    <x v="0"/>
    <s v="New Delhi"/>
    <x v="2"/>
    <s v="Makeup"/>
    <x v="2"/>
    <x v="11"/>
    <n v="5"/>
    <n v="18093.34"/>
    <n v="5"/>
    <n v="90466.7"/>
    <n v="64446.39"/>
    <n v="26020.31"/>
    <x v="4"/>
    <x v="24"/>
    <x v="0"/>
    <x v="6"/>
    <x v="1"/>
  </r>
  <r>
    <s v="ORD00512"/>
    <s v="2024-04-12"/>
    <s v="Pooja Nair"/>
    <x v="0"/>
    <s v="New Delhi"/>
    <x v="3"/>
    <s v="Smartwatches"/>
    <x v="9"/>
    <x v="12"/>
    <n v="5"/>
    <n v="31737.13"/>
    <n v="15"/>
    <n v="158685.65"/>
    <n v="107552.66"/>
    <n v="51132.99"/>
    <x v="5"/>
    <x v="9"/>
    <x v="0"/>
    <x v="9"/>
    <x v="0"/>
  </r>
  <r>
    <s v="ORD00513"/>
    <s v="2024-09-24"/>
    <s v="Karan Shah"/>
    <x v="4"/>
    <s v="Nagpur"/>
    <x v="2"/>
    <s v="Skincare"/>
    <x v="11"/>
    <x v="2"/>
    <n v="3"/>
    <n v="49861.17"/>
    <n v="15"/>
    <n v="149583.51"/>
    <n v="120169.12"/>
    <n v="29414.39"/>
    <x v="1"/>
    <x v="15"/>
    <x v="0"/>
    <x v="0"/>
    <x v="0"/>
  </r>
  <r>
    <s v="ORD00514"/>
    <s v="2024-09-02"/>
    <s v="Rohit Verma"/>
    <x v="0"/>
    <s v="New Delhi"/>
    <x v="0"/>
    <s v="Educational"/>
    <x v="0"/>
    <x v="0"/>
    <n v="1"/>
    <n v="21233.35"/>
    <n v="20"/>
    <n v="21233.35"/>
    <n v="17342.8"/>
    <n v="3890.55"/>
    <x v="3"/>
    <x v="5"/>
    <x v="2"/>
    <x v="0"/>
    <x v="0"/>
  </r>
  <r>
    <s v="ORD00515"/>
    <s v="2024-07-16"/>
    <s v="Sneha Iyer"/>
    <x v="1"/>
    <s v="Kolkata"/>
    <x v="4"/>
    <s v="Cookware"/>
    <x v="23"/>
    <x v="4"/>
    <n v="5"/>
    <n v="776.91"/>
    <n v="25"/>
    <n v="3884.55"/>
    <n v="3157.13"/>
    <n v="727.42"/>
    <x v="3"/>
    <x v="24"/>
    <x v="2"/>
    <x v="5"/>
    <x v="0"/>
  </r>
  <r>
    <s v="ORD00516"/>
    <s v="2024-12-14"/>
    <s v="Pooja Nair"/>
    <x v="6"/>
    <s v="Lucknow"/>
    <x v="2"/>
    <s v="Skincare"/>
    <x v="11"/>
    <x v="6"/>
    <n v="1"/>
    <n v="25542.71"/>
    <n v="10"/>
    <n v="25542.71"/>
    <n v="21587.27"/>
    <n v="3955.44"/>
    <x v="1"/>
    <x v="21"/>
    <x v="0"/>
    <x v="1"/>
    <x v="0"/>
  </r>
  <r>
    <s v="ORD00517"/>
    <s v="2024-07-22"/>
    <s v="Amit Kumar"/>
    <x v="1"/>
    <s v="Kolkata"/>
    <x v="1"/>
    <s v="General"/>
    <x v="6"/>
    <x v="1"/>
    <n v="5"/>
    <n v="10818.28"/>
    <n v="5"/>
    <n v="54091.4"/>
    <n v="42526.32"/>
    <n v="11565.08"/>
    <x v="1"/>
    <x v="14"/>
    <x v="0"/>
    <x v="5"/>
    <x v="0"/>
  </r>
  <r>
    <s v="ORD00518"/>
    <s v="2024-10-24"/>
    <s v="Neha Singh"/>
    <x v="6"/>
    <s v="Lucknow"/>
    <x v="3"/>
    <s v="Headphones"/>
    <x v="9"/>
    <x v="8"/>
    <n v="5"/>
    <n v="45801.19"/>
    <n v="15"/>
    <n v="229005.95"/>
    <n v="152628.04"/>
    <n v="76377.91"/>
    <x v="4"/>
    <x v="7"/>
    <x v="0"/>
    <x v="4"/>
    <x v="0"/>
  </r>
  <r>
    <s v="ORD00519"/>
    <s v="2024-12-06"/>
    <s v="Anjali Gupta"/>
    <x v="2"/>
    <s v="Ahmedabad"/>
    <x v="2"/>
    <s v="Makeup"/>
    <x v="2"/>
    <x v="6"/>
    <n v="2"/>
    <n v="6963.56"/>
    <n v="25"/>
    <n v="13927.12"/>
    <n v="10864.66"/>
    <n v="3062.46"/>
    <x v="0"/>
    <x v="26"/>
    <x v="0"/>
    <x v="1"/>
    <x v="0"/>
  </r>
  <r>
    <s v="ORD00520"/>
    <s v="2024-06-12"/>
    <s v="Neha Singh"/>
    <x v="7"/>
    <s v="Chennai"/>
    <x v="3"/>
    <s v="Laptops"/>
    <x v="12"/>
    <x v="14"/>
    <n v="1"/>
    <n v="37082.11"/>
    <n v="5"/>
    <n v="37082.11"/>
    <n v="29476.68"/>
    <n v="7605.43"/>
    <x v="1"/>
    <x v="2"/>
    <x v="2"/>
    <x v="10"/>
    <x v="0"/>
  </r>
  <r>
    <s v="ORD00521"/>
    <s v="2024-06-04"/>
    <s v="Priya Patel"/>
    <x v="6"/>
    <s v="Lucknow"/>
    <x v="0"/>
    <s v="Fiction"/>
    <x v="14"/>
    <x v="0"/>
    <n v="1"/>
    <n v="6842.69"/>
    <n v="5"/>
    <n v="6842.69"/>
    <n v="5701.18"/>
    <n v="1141.51"/>
    <x v="1"/>
    <x v="22"/>
    <x v="0"/>
    <x v="10"/>
    <x v="0"/>
  </r>
  <r>
    <s v="ORD00522"/>
    <s v="2024-04-08"/>
    <s v="Amit Kumar"/>
    <x v="6"/>
    <s v="Lucknow"/>
    <x v="2"/>
    <s v="Skincare"/>
    <x v="10"/>
    <x v="11"/>
    <n v="1"/>
    <n v="7283.96"/>
    <n v="30"/>
    <n v="7283.96"/>
    <n v="6119.03"/>
    <n v="1164.93"/>
    <x v="3"/>
    <x v="6"/>
    <x v="0"/>
    <x v="9"/>
    <x v="0"/>
  </r>
  <r>
    <s v="ORD00523"/>
    <s v="2024-04-20"/>
    <s v="Amit Kumar"/>
    <x v="5"/>
    <s v="Hyderabad"/>
    <x v="4"/>
    <s v="Storage"/>
    <x v="4"/>
    <x v="4"/>
    <n v="5"/>
    <n v="218.58"/>
    <n v="5"/>
    <n v="1092.9000000000001"/>
    <n v="800.8"/>
    <n v="292.10000000000002"/>
    <x v="2"/>
    <x v="38"/>
    <x v="0"/>
    <x v="9"/>
    <x v="0"/>
  </r>
  <r>
    <s v="ORD00524"/>
    <s v="2024-09-28"/>
    <s v="Priya Patel"/>
    <x v="3"/>
    <s v="Mysuru"/>
    <x v="3"/>
    <s v="Smartwatches"/>
    <x v="18"/>
    <x v="5"/>
    <n v="3"/>
    <n v="38689.699999999997"/>
    <n v="30"/>
    <n v="116069.1"/>
    <n v="75850.13"/>
    <n v="40218.97"/>
    <x v="0"/>
    <x v="30"/>
    <x v="0"/>
    <x v="0"/>
    <x v="0"/>
  </r>
  <r>
    <s v="ORD00525"/>
    <s v="2024-09-26"/>
    <s v="Sneha Iyer"/>
    <x v="1"/>
    <s v="Kolkata"/>
    <x v="4"/>
    <s v="Storage"/>
    <x v="7"/>
    <x v="9"/>
    <n v="2"/>
    <n v="8863.9699999999993"/>
    <n v="25"/>
    <n v="17727.939999999999"/>
    <n v="13503.49"/>
    <n v="4224.45"/>
    <x v="1"/>
    <x v="16"/>
    <x v="0"/>
    <x v="0"/>
    <x v="0"/>
  </r>
  <r>
    <s v="ORD00526"/>
    <s v="2024-04-23"/>
    <s v="Neha Singh"/>
    <x v="4"/>
    <s v="Mumbai"/>
    <x v="1"/>
    <s v="General"/>
    <x v="6"/>
    <x v="1"/>
    <n v="5"/>
    <n v="12472.17"/>
    <n v="20"/>
    <n v="62360.85"/>
    <n v="47261.05"/>
    <n v="15099.8"/>
    <x v="1"/>
    <x v="30"/>
    <x v="0"/>
    <x v="9"/>
    <x v="0"/>
  </r>
  <r>
    <s v="ORD00527"/>
    <s v="2024-10-26"/>
    <s v="Pooja Nair"/>
    <x v="0"/>
    <s v="New Delhi"/>
    <x v="1"/>
    <s v="General"/>
    <x v="1"/>
    <x v="1"/>
    <n v="1"/>
    <n v="8734.44"/>
    <n v="10"/>
    <n v="8734.44"/>
    <n v="6756.02"/>
    <n v="1978.42"/>
    <x v="0"/>
    <x v="15"/>
    <x v="0"/>
    <x v="4"/>
    <x v="0"/>
  </r>
  <r>
    <s v="ORD00528"/>
    <s v="2024-02-18"/>
    <s v="Anjali Gupta"/>
    <x v="6"/>
    <s v="Lucknow"/>
    <x v="2"/>
    <s v="Skincare"/>
    <x v="10"/>
    <x v="11"/>
    <n v="5"/>
    <n v="32422.04"/>
    <n v="30"/>
    <n v="162110.20000000001"/>
    <n v="114322.13"/>
    <n v="47788.07"/>
    <x v="5"/>
    <x v="30"/>
    <x v="0"/>
    <x v="8"/>
    <x v="0"/>
  </r>
  <r>
    <s v="ORD00529"/>
    <s v="2024-04-28"/>
    <s v="Priya Patel"/>
    <x v="1"/>
    <s v="Kolkata"/>
    <x v="3"/>
    <s v="Smartphones"/>
    <x v="18"/>
    <x v="13"/>
    <n v="5"/>
    <n v="45532.34"/>
    <n v="10"/>
    <n v="227661.7"/>
    <n v="184281.19"/>
    <n v="43380.51"/>
    <x v="4"/>
    <x v="22"/>
    <x v="0"/>
    <x v="9"/>
    <x v="0"/>
  </r>
  <r>
    <s v="ORD00530"/>
    <s v="2024-08-30"/>
    <s v="Neha Singh"/>
    <x v="4"/>
    <s v="Mumbai"/>
    <x v="2"/>
    <s v="Skincare"/>
    <x v="2"/>
    <x v="11"/>
    <n v="4"/>
    <n v="22534.799999999999"/>
    <n v="10"/>
    <n v="90139.199999999997"/>
    <n v="74294.31"/>
    <n v="15844.89"/>
    <x v="3"/>
    <x v="23"/>
    <x v="0"/>
    <x v="11"/>
    <x v="0"/>
  </r>
  <r>
    <s v="ORD00531"/>
    <s v="2024-10-28"/>
    <s v="Neha Singh"/>
    <x v="1"/>
    <s v="Kolkata"/>
    <x v="0"/>
    <s v="Educational"/>
    <x v="22"/>
    <x v="0"/>
    <n v="1"/>
    <n v="26058.55"/>
    <n v="25"/>
    <n v="26058.55"/>
    <n v="21228.68"/>
    <n v="4829.87"/>
    <x v="1"/>
    <x v="6"/>
    <x v="0"/>
    <x v="4"/>
    <x v="0"/>
  </r>
  <r>
    <s v="ORD00532"/>
    <s v="2024-07-27"/>
    <s v="Priya Patel"/>
    <x v="1"/>
    <s v="Kolkata"/>
    <x v="4"/>
    <s v="Storage"/>
    <x v="16"/>
    <x v="9"/>
    <n v="2"/>
    <n v="13348.84"/>
    <n v="5"/>
    <n v="26697.68"/>
    <n v="20418.29"/>
    <n v="6279.39"/>
    <x v="3"/>
    <x v="24"/>
    <x v="0"/>
    <x v="5"/>
    <x v="0"/>
  </r>
  <r>
    <s v="ORD00533"/>
    <s v="2024-06-16"/>
    <s v="Arjun Mehta"/>
    <x v="7"/>
    <s v="Coimbatore"/>
    <x v="4"/>
    <s v="Cookware"/>
    <x v="7"/>
    <x v="9"/>
    <n v="1"/>
    <n v="46792.3"/>
    <n v="5"/>
    <n v="46792.3"/>
    <n v="33481.57"/>
    <n v="13310.73"/>
    <x v="4"/>
    <x v="35"/>
    <x v="0"/>
    <x v="10"/>
    <x v="0"/>
  </r>
  <r>
    <s v="ORD00534"/>
    <s v="2024-05-12"/>
    <s v="Anjali Gupta"/>
    <x v="3"/>
    <s v="Mysuru"/>
    <x v="4"/>
    <s v="Cookware"/>
    <x v="23"/>
    <x v="9"/>
    <n v="4"/>
    <n v="15764.25"/>
    <n v="30"/>
    <n v="63057"/>
    <n v="52319.76"/>
    <n v="10737.24"/>
    <x v="3"/>
    <x v="9"/>
    <x v="0"/>
    <x v="2"/>
    <x v="0"/>
  </r>
  <r>
    <s v="ORD00535"/>
    <s v="2025-01-07"/>
    <s v="Arjun Mehta"/>
    <x v="4"/>
    <s v="Nagpur"/>
    <x v="3"/>
    <s v="Headphones"/>
    <x v="3"/>
    <x v="8"/>
    <n v="5"/>
    <n v="45019"/>
    <n v="15"/>
    <n v="225095"/>
    <n v="178546.17"/>
    <n v="46548.83"/>
    <x v="3"/>
    <x v="25"/>
    <x v="0"/>
    <x v="6"/>
    <x v="1"/>
  </r>
  <r>
    <s v="ORD00536"/>
    <s v="2024-06-25"/>
    <s v="Amit Kumar"/>
    <x v="5"/>
    <s v="Hyderabad"/>
    <x v="1"/>
    <s v="General"/>
    <x v="24"/>
    <x v="1"/>
    <n v="4"/>
    <n v="42794.400000000001"/>
    <n v="5"/>
    <n v="171177.60000000001"/>
    <n v="124478.25"/>
    <n v="46699.35"/>
    <x v="3"/>
    <x v="33"/>
    <x v="0"/>
    <x v="10"/>
    <x v="0"/>
  </r>
  <r>
    <s v="ORD00537"/>
    <s v="2024-04-15"/>
    <s v="Neha Singh"/>
    <x v="3"/>
    <s v="Bengaluru"/>
    <x v="0"/>
    <s v="Educational"/>
    <x v="0"/>
    <x v="0"/>
    <n v="1"/>
    <n v="492.53"/>
    <n v="15"/>
    <n v="492.53"/>
    <n v="413.73"/>
    <n v="78.8"/>
    <x v="4"/>
    <x v="2"/>
    <x v="2"/>
    <x v="9"/>
    <x v="0"/>
  </r>
  <r>
    <s v="ORD00538"/>
    <s v="2024-07-28"/>
    <s v="Sneha Iyer"/>
    <x v="6"/>
    <s v="Noida"/>
    <x v="4"/>
    <s v="Cookware"/>
    <x v="23"/>
    <x v="10"/>
    <n v="4"/>
    <n v="30721.51"/>
    <n v="30"/>
    <n v="122886.04"/>
    <n v="81964.52"/>
    <n v="40921.519999999997"/>
    <x v="2"/>
    <x v="20"/>
    <x v="0"/>
    <x v="5"/>
    <x v="0"/>
  </r>
  <r>
    <s v="ORD00539"/>
    <s v="2024-07-12"/>
    <s v="Anjali Gupta"/>
    <x v="7"/>
    <s v="Chennai"/>
    <x v="4"/>
    <s v="Cookware"/>
    <x v="4"/>
    <x v="9"/>
    <n v="3"/>
    <n v="17162.64"/>
    <n v="20"/>
    <n v="51487.92"/>
    <n v="34132.93"/>
    <n v="17354.990000000002"/>
    <x v="3"/>
    <x v="25"/>
    <x v="2"/>
    <x v="5"/>
    <x v="0"/>
  </r>
  <r>
    <s v="ORD00540"/>
    <s v="2024-04-08"/>
    <s v="Priya Patel"/>
    <x v="7"/>
    <s v="Coimbatore"/>
    <x v="0"/>
    <s v="Educational"/>
    <x v="14"/>
    <x v="7"/>
    <n v="3"/>
    <n v="45888.54"/>
    <n v="15"/>
    <n v="137665.62"/>
    <n v="93378.77"/>
    <n v="44286.85"/>
    <x v="4"/>
    <x v="6"/>
    <x v="0"/>
    <x v="9"/>
    <x v="0"/>
  </r>
  <r>
    <s v="ORD00541"/>
    <s v="2024-12-02"/>
    <s v="Anjali Gupta"/>
    <x v="1"/>
    <s v="Kolkata"/>
    <x v="4"/>
    <s v="Storage"/>
    <x v="7"/>
    <x v="4"/>
    <n v="3"/>
    <n v="49052.43"/>
    <n v="15"/>
    <n v="147157.29"/>
    <n v="105160.76"/>
    <n v="41996.53"/>
    <x v="0"/>
    <x v="16"/>
    <x v="0"/>
    <x v="1"/>
    <x v="0"/>
  </r>
  <r>
    <s v="ORD00542"/>
    <s v="2024-03-30"/>
    <s v="Rahul Sharma"/>
    <x v="6"/>
    <s v="Lucknow"/>
    <x v="4"/>
    <s v="Cookware"/>
    <x v="23"/>
    <x v="10"/>
    <n v="1"/>
    <n v="2435.9699999999998"/>
    <n v="10"/>
    <n v="2435.9699999999998"/>
    <n v="2026.2"/>
    <n v="409.77"/>
    <x v="4"/>
    <x v="10"/>
    <x v="0"/>
    <x v="7"/>
    <x v="0"/>
  </r>
  <r>
    <s v="ORD00543"/>
    <s v="2024-05-13"/>
    <s v="Priya Patel"/>
    <x v="0"/>
    <s v="New Delhi"/>
    <x v="4"/>
    <s v="Cookware"/>
    <x v="7"/>
    <x v="10"/>
    <n v="4"/>
    <n v="48128.02"/>
    <n v="20"/>
    <n v="192512.08"/>
    <n v="130984.25"/>
    <n v="61527.83"/>
    <x v="2"/>
    <x v="3"/>
    <x v="0"/>
    <x v="2"/>
    <x v="0"/>
  </r>
  <r>
    <s v="ORD00544"/>
    <s v="2024-04-30"/>
    <s v="Rohit Verma"/>
    <x v="5"/>
    <s v="Hyderabad"/>
    <x v="2"/>
    <s v="Makeup"/>
    <x v="10"/>
    <x v="2"/>
    <n v="5"/>
    <n v="47111.56"/>
    <n v="30"/>
    <n v="235557.8"/>
    <n v="169558.08"/>
    <n v="65999.72"/>
    <x v="1"/>
    <x v="36"/>
    <x v="0"/>
    <x v="9"/>
    <x v="0"/>
  </r>
  <r>
    <s v="ORD00545"/>
    <s v="2024-08-14"/>
    <s v="Sneha Iyer"/>
    <x v="6"/>
    <s v="Lucknow"/>
    <x v="0"/>
    <s v="Fiction"/>
    <x v="0"/>
    <x v="7"/>
    <n v="5"/>
    <n v="8091.3"/>
    <n v="30"/>
    <n v="40456.5"/>
    <n v="28421.39"/>
    <n v="12035.11"/>
    <x v="4"/>
    <x v="6"/>
    <x v="0"/>
    <x v="11"/>
    <x v="0"/>
  </r>
  <r>
    <s v="ORD00546"/>
    <s v="2024-12-18"/>
    <s v="Rohit Verma"/>
    <x v="6"/>
    <s v="Lucknow"/>
    <x v="4"/>
    <s v="Cookware"/>
    <x v="16"/>
    <x v="9"/>
    <n v="5"/>
    <n v="43217.1"/>
    <n v="20"/>
    <n v="216085.5"/>
    <n v="175102.82"/>
    <n v="40982.68"/>
    <x v="0"/>
    <x v="8"/>
    <x v="0"/>
    <x v="1"/>
    <x v="0"/>
  </r>
  <r>
    <s v="ORD00547"/>
    <s v="2024-05-06"/>
    <s v="Karan Shah"/>
    <x v="5"/>
    <s v="Hyderabad"/>
    <x v="1"/>
    <s v="General"/>
    <x v="8"/>
    <x v="1"/>
    <n v="2"/>
    <n v="35592.76"/>
    <n v="20"/>
    <n v="71185.52"/>
    <n v="50493.47"/>
    <n v="20692.05"/>
    <x v="0"/>
    <x v="33"/>
    <x v="0"/>
    <x v="2"/>
    <x v="0"/>
  </r>
  <r>
    <s v="ORD00548"/>
    <s v="2024-07-14"/>
    <s v="Anjali Gupta"/>
    <x v="4"/>
    <s v="Pune"/>
    <x v="2"/>
    <s v="Makeup"/>
    <x v="17"/>
    <x v="6"/>
    <n v="5"/>
    <n v="9534.89"/>
    <n v="30"/>
    <n v="47674.45"/>
    <n v="39932.69"/>
    <n v="7741.76"/>
    <x v="5"/>
    <x v="24"/>
    <x v="0"/>
    <x v="5"/>
    <x v="0"/>
  </r>
  <r>
    <s v="ORD00549"/>
    <s v="2024-04-02"/>
    <s v="Amit Kumar"/>
    <x v="7"/>
    <s v="Chennai"/>
    <x v="2"/>
    <s v="Skincare"/>
    <x v="19"/>
    <x v="2"/>
    <n v="4"/>
    <n v="46990.87"/>
    <n v="25"/>
    <n v="187963.48"/>
    <n v="133638.26999999999"/>
    <n v="54325.21"/>
    <x v="3"/>
    <x v="5"/>
    <x v="0"/>
    <x v="9"/>
    <x v="0"/>
  </r>
  <r>
    <s v="ORD00550"/>
    <s v="2024-12-29"/>
    <s v="Amit Kumar"/>
    <x v="5"/>
    <s v="Hyderabad"/>
    <x v="4"/>
    <s v="Cookware"/>
    <x v="7"/>
    <x v="10"/>
    <n v="5"/>
    <n v="31137.03"/>
    <n v="25"/>
    <n v="155685.15"/>
    <n v="111618.88"/>
    <n v="44066.27"/>
    <x v="4"/>
    <x v="8"/>
    <x v="0"/>
    <x v="1"/>
    <x v="0"/>
  </r>
  <r>
    <s v="ORD00551"/>
    <s v="2025-02-07"/>
    <s v="Priya Patel"/>
    <x v="1"/>
    <s v="Kolkata"/>
    <x v="3"/>
    <s v="Smartwatches"/>
    <x v="18"/>
    <x v="14"/>
    <n v="4"/>
    <n v="35821.160000000003"/>
    <n v="20"/>
    <n v="143284.64000000001"/>
    <n v="93896.51"/>
    <n v="49388.13"/>
    <x v="0"/>
    <x v="37"/>
    <x v="0"/>
    <x v="8"/>
    <x v="1"/>
  </r>
  <r>
    <s v="ORD00552"/>
    <s v="2024-05-06"/>
    <s v="Anjali Gupta"/>
    <x v="6"/>
    <s v="Noida"/>
    <x v="2"/>
    <s v="Skincare"/>
    <x v="19"/>
    <x v="11"/>
    <n v="5"/>
    <n v="28156.95"/>
    <n v="20"/>
    <n v="140784.75"/>
    <n v="109850.81"/>
    <n v="30933.94"/>
    <x v="1"/>
    <x v="29"/>
    <x v="0"/>
    <x v="2"/>
    <x v="0"/>
  </r>
  <r>
    <s v="ORD00553"/>
    <s v="2024-11-28"/>
    <s v="Pooja Nair"/>
    <x v="1"/>
    <s v="Kolkata"/>
    <x v="2"/>
    <s v="Skincare"/>
    <x v="11"/>
    <x v="6"/>
    <n v="2"/>
    <n v="9335.19"/>
    <n v="15"/>
    <n v="18670.38"/>
    <n v="15608.02"/>
    <n v="3062.36"/>
    <x v="3"/>
    <x v="1"/>
    <x v="0"/>
    <x v="3"/>
    <x v="0"/>
  </r>
  <r>
    <s v="ORD00554"/>
    <s v="2024-08-07"/>
    <s v="Neha Singh"/>
    <x v="5"/>
    <s v="Hyderabad"/>
    <x v="1"/>
    <s v="General"/>
    <x v="15"/>
    <x v="1"/>
    <n v="2"/>
    <n v="25114.77"/>
    <n v="30"/>
    <n v="50229.54"/>
    <n v="34151.879999999997"/>
    <n v="16077.66"/>
    <x v="3"/>
    <x v="22"/>
    <x v="0"/>
    <x v="11"/>
    <x v="0"/>
  </r>
  <r>
    <s v="ORD00555"/>
    <s v="2024-11-28"/>
    <s v="Pooja Nair"/>
    <x v="3"/>
    <s v="Mysuru"/>
    <x v="2"/>
    <s v="Skincare"/>
    <x v="11"/>
    <x v="11"/>
    <n v="3"/>
    <n v="19961.03"/>
    <n v="5"/>
    <n v="59883.09"/>
    <n v="49455.72"/>
    <n v="10427.370000000001"/>
    <x v="4"/>
    <x v="36"/>
    <x v="0"/>
    <x v="3"/>
    <x v="0"/>
  </r>
  <r>
    <s v="ORD00556"/>
    <s v="2024-08-04"/>
    <s v="Karan Shah"/>
    <x v="2"/>
    <s v="Ahmedabad"/>
    <x v="3"/>
    <s v="Smartwatches"/>
    <x v="18"/>
    <x v="3"/>
    <n v="2"/>
    <n v="38488.04"/>
    <n v="20"/>
    <n v="76976.08"/>
    <n v="63467.19"/>
    <n v="13508.89"/>
    <x v="1"/>
    <x v="19"/>
    <x v="0"/>
    <x v="11"/>
    <x v="0"/>
  </r>
  <r>
    <s v="ORD00557"/>
    <s v="2024-05-17"/>
    <s v="Sneha Iyer"/>
    <x v="3"/>
    <s v="Mysuru"/>
    <x v="2"/>
    <s v="Skincare"/>
    <x v="10"/>
    <x v="6"/>
    <n v="5"/>
    <n v="20202.560000000001"/>
    <n v="10"/>
    <n v="101012.8"/>
    <n v="81468.399999999994"/>
    <n v="19544.400000000001"/>
    <x v="4"/>
    <x v="22"/>
    <x v="0"/>
    <x v="2"/>
    <x v="0"/>
  </r>
  <r>
    <s v="ORD00558"/>
    <s v="2024-09-21"/>
    <s v="Priya Patel"/>
    <x v="4"/>
    <s v="Mumbai"/>
    <x v="3"/>
    <s v="Headphones"/>
    <x v="20"/>
    <x v="12"/>
    <n v="3"/>
    <n v="39008.370000000003"/>
    <n v="25"/>
    <n v="117025.11"/>
    <n v="90741.79"/>
    <n v="26283.32"/>
    <x v="5"/>
    <x v="21"/>
    <x v="0"/>
    <x v="0"/>
    <x v="0"/>
  </r>
  <r>
    <s v="ORD00559"/>
    <s v="2024-12-19"/>
    <s v="Neha Singh"/>
    <x v="4"/>
    <s v="Mumbai"/>
    <x v="2"/>
    <s v="Makeup"/>
    <x v="10"/>
    <x v="2"/>
    <n v="1"/>
    <n v="9946.27"/>
    <n v="25"/>
    <n v="9946.27"/>
    <n v="6759.15"/>
    <n v="3187.12"/>
    <x v="4"/>
    <x v="19"/>
    <x v="0"/>
    <x v="1"/>
    <x v="0"/>
  </r>
  <r>
    <s v="ORD00560"/>
    <s v="2024-09-23"/>
    <s v="Karan Shah"/>
    <x v="5"/>
    <s v="Hyderabad"/>
    <x v="1"/>
    <s v="General"/>
    <x v="15"/>
    <x v="1"/>
    <n v="5"/>
    <n v="7994.76"/>
    <n v="5"/>
    <n v="39973.800000000003"/>
    <n v="32163.439999999999"/>
    <n v="7810.36"/>
    <x v="0"/>
    <x v="39"/>
    <x v="0"/>
    <x v="0"/>
    <x v="0"/>
  </r>
  <r>
    <s v="ORD00561"/>
    <s v="2024-12-06"/>
    <s v="Karan Shah"/>
    <x v="1"/>
    <s v="Kolkata"/>
    <x v="4"/>
    <s v="Storage"/>
    <x v="4"/>
    <x v="9"/>
    <n v="3"/>
    <n v="6341.62"/>
    <n v="30"/>
    <n v="19024.86"/>
    <n v="13613.05"/>
    <n v="5411.81"/>
    <x v="4"/>
    <x v="2"/>
    <x v="0"/>
    <x v="1"/>
    <x v="0"/>
  </r>
  <r>
    <s v="ORD00562"/>
    <s v="2024-04-03"/>
    <s v="Priya Patel"/>
    <x v="2"/>
    <s v="Ahmedabad"/>
    <x v="1"/>
    <s v="General"/>
    <x v="1"/>
    <x v="1"/>
    <n v="4"/>
    <n v="37503.57"/>
    <n v="25"/>
    <n v="150014.28"/>
    <n v="98613.88"/>
    <n v="51400.4"/>
    <x v="3"/>
    <x v="31"/>
    <x v="0"/>
    <x v="9"/>
    <x v="0"/>
  </r>
  <r>
    <s v="ORD00563"/>
    <s v="2024-08-27"/>
    <s v="Rahul Sharma"/>
    <x v="6"/>
    <s v="Noida"/>
    <x v="0"/>
    <s v="Educational"/>
    <x v="21"/>
    <x v="7"/>
    <n v="1"/>
    <n v="36760.35"/>
    <n v="20"/>
    <n v="36760.35"/>
    <n v="29022.48"/>
    <n v="7737.87"/>
    <x v="4"/>
    <x v="39"/>
    <x v="0"/>
    <x v="11"/>
    <x v="0"/>
  </r>
  <r>
    <s v="ORD00564"/>
    <s v="2024-07-22"/>
    <s v="Karan Shah"/>
    <x v="6"/>
    <s v="Lucknow"/>
    <x v="1"/>
    <s v="General"/>
    <x v="8"/>
    <x v="1"/>
    <n v="5"/>
    <n v="38023.86"/>
    <n v="5"/>
    <n v="190119.3"/>
    <n v="149326.76999999999"/>
    <n v="40792.53"/>
    <x v="4"/>
    <x v="37"/>
    <x v="0"/>
    <x v="5"/>
    <x v="0"/>
  </r>
  <r>
    <s v="ORD00565"/>
    <s v="2024-02-20"/>
    <s v="Anjali Gupta"/>
    <x v="3"/>
    <s v="Bengaluru"/>
    <x v="1"/>
    <s v="General"/>
    <x v="24"/>
    <x v="1"/>
    <n v="1"/>
    <n v="17983.34"/>
    <n v="10"/>
    <n v="17983.34"/>
    <n v="14779.08"/>
    <n v="3204.26"/>
    <x v="3"/>
    <x v="39"/>
    <x v="0"/>
    <x v="8"/>
    <x v="0"/>
  </r>
  <r>
    <s v="ORD00566"/>
    <s v="2024-05-11"/>
    <s v="Anjali Gupta"/>
    <x v="7"/>
    <s v="Chennai"/>
    <x v="4"/>
    <s v="Storage"/>
    <x v="16"/>
    <x v="4"/>
    <n v="5"/>
    <n v="25457.34"/>
    <n v="10"/>
    <n v="127286.7"/>
    <n v="97336.49"/>
    <n v="29950.21"/>
    <x v="1"/>
    <x v="17"/>
    <x v="0"/>
    <x v="2"/>
    <x v="0"/>
  </r>
  <r>
    <s v="ORD00567"/>
    <s v="2024-04-30"/>
    <s v="Sneha Iyer"/>
    <x v="6"/>
    <s v="Noida"/>
    <x v="0"/>
    <s v="Educational"/>
    <x v="22"/>
    <x v="0"/>
    <n v="4"/>
    <n v="26220.67"/>
    <n v="5"/>
    <n v="104882.68"/>
    <n v="87938.93"/>
    <n v="16943.75"/>
    <x v="5"/>
    <x v="26"/>
    <x v="0"/>
    <x v="9"/>
    <x v="0"/>
  </r>
  <r>
    <s v="ORD00568"/>
    <s v="2025-02-01"/>
    <s v="Rahul Sharma"/>
    <x v="0"/>
    <s v="New Delhi"/>
    <x v="0"/>
    <s v="Educational"/>
    <x v="0"/>
    <x v="0"/>
    <n v="1"/>
    <n v="48670.07"/>
    <n v="5"/>
    <n v="48670.07"/>
    <n v="38117.589999999997"/>
    <n v="10552.48"/>
    <x v="1"/>
    <x v="24"/>
    <x v="0"/>
    <x v="8"/>
    <x v="1"/>
  </r>
  <r>
    <s v="ORD00569"/>
    <s v="2025-01-10"/>
    <s v="Rohit Verma"/>
    <x v="1"/>
    <s v="Kolkata"/>
    <x v="3"/>
    <s v="Headphones"/>
    <x v="12"/>
    <x v="8"/>
    <n v="5"/>
    <n v="12197.36"/>
    <n v="20"/>
    <n v="60986.8"/>
    <n v="43672.82"/>
    <n v="17313.98"/>
    <x v="0"/>
    <x v="0"/>
    <x v="0"/>
    <x v="6"/>
    <x v="1"/>
  </r>
  <r>
    <s v="ORD00570"/>
    <s v="2024-12-25"/>
    <s v="Sneha Iyer"/>
    <x v="5"/>
    <s v="Hyderabad"/>
    <x v="3"/>
    <s v="Smartwatches"/>
    <x v="9"/>
    <x v="8"/>
    <n v="4"/>
    <n v="14488.22"/>
    <n v="10"/>
    <n v="57952.88"/>
    <n v="47765.32"/>
    <n v="10187.56"/>
    <x v="5"/>
    <x v="29"/>
    <x v="0"/>
    <x v="1"/>
    <x v="0"/>
  </r>
  <r>
    <s v="ORD00571"/>
    <s v="2025-01-15"/>
    <s v="Pooja Nair"/>
    <x v="1"/>
    <s v="Kolkata"/>
    <x v="4"/>
    <s v="Storage"/>
    <x v="7"/>
    <x v="9"/>
    <n v="2"/>
    <n v="33547.94"/>
    <n v="30"/>
    <n v="67095.88"/>
    <n v="47148.54"/>
    <n v="19947.34"/>
    <x v="5"/>
    <x v="19"/>
    <x v="0"/>
    <x v="6"/>
    <x v="1"/>
  </r>
  <r>
    <s v="ORD00572"/>
    <s v="2024-03-23"/>
    <s v="Arjun Mehta"/>
    <x v="4"/>
    <s v="Pune"/>
    <x v="1"/>
    <s v="General"/>
    <x v="6"/>
    <x v="1"/>
    <n v="5"/>
    <n v="4800.26"/>
    <n v="25"/>
    <n v="24001.3"/>
    <n v="18985.23"/>
    <n v="5016.07"/>
    <x v="1"/>
    <x v="21"/>
    <x v="0"/>
    <x v="7"/>
    <x v="0"/>
  </r>
  <r>
    <s v="ORD00573"/>
    <s v="2024-04-08"/>
    <s v="Amit Kumar"/>
    <x v="1"/>
    <s v="Kolkata"/>
    <x v="4"/>
    <s v="Cookware"/>
    <x v="4"/>
    <x v="4"/>
    <n v="4"/>
    <n v="36429.57"/>
    <n v="20"/>
    <n v="145718.28"/>
    <n v="118528.7"/>
    <n v="27189.58"/>
    <x v="4"/>
    <x v="33"/>
    <x v="0"/>
    <x v="9"/>
    <x v="0"/>
  </r>
  <r>
    <s v="ORD00574"/>
    <s v="2024-02-17"/>
    <s v="Anjali Gupta"/>
    <x v="1"/>
    <s v="Kolkata"/>
    <x v="3"/>
    <s v="Smartphones"/>
    <x v="9"/>
    <x v="14"/>
    <n v="4"/>
    <n v="29775.43"/>
    <n v="10"/>
    <n v="119101.72"/>
    <n v="100970.99"/>
    <n v="18130.73"/>
    <x v="0"/>
    <x v="33"/>
    <x v="0"/>
    <x v="8"/>
    <x v="0"/>
  </r>
  <r>
    <s v="ORD00575"/>
    <s v="2024-07-15"/>
    <s v="Anjali Gupta"/>
    <x v="5"/>
    <s v="Hyderabad"/>
    <x v="2"/>
    <s v="Skincare"/>
    <x v="10"/>
    <x v="6"/>
    <n v="3"/>
    <n v="10736.32"/>
    <n v="20"/>
    <n v="32208.959999999999"/>
    <n v="21174.45"/>
    <n v="11034.51"/>
    <x v="1"/>
    <x v="13"/>
    <x v="0"/>
    <x v="5"/>
    <x v="0"/>
  </r>
  <r>
    <s v="ORD00576"/>
    <s v="2024-05-10"/>
    <s v="Rohit Verma"/>
    <x v="0"/>
    <s v="New Delhi"/>
    <x v="0"/>
    <s v="Fiction"/>
    <x v="22"/>
    <x v="0"/>
    <n v="5"/>
    <n v="8005.02"/>
    <n v="10"/>
    <n v="40025.1"/>
    <n v="28525.64"/>
    <n v="11499.46"/>
    <x v="1"/>
    <x v="15"/>
    <x v="2"/>
    <x v="2"/>
    <x v="0"/>
  </r>
  <r>
    <s v="ORD00577"/>
    <s v="2024-03-27"/>
    <s v="Neha Singh"/>
    <x v="6"/>
    <s v="Lucknow"/>
    <x v="2"/>
    <s v="Makeup"/>
    <x v="10"/>
    <x v="6"/>
    <n v="3"/>
    <n v="32078.48"/>
    <n v="10"/>
    <n v="96235.44"/>
    <n v="63748.67"/>
    <n v="32486.77"/>
    <x v="4"/>
    <x v="16"/>
    <x v="0"/>
    <x v="7"/>
    <x v="0"/>
  </r>
  <r>
    <s v="ORD00578"/>
    <s v="2024-09-10"/>
    <s v="Sneha Iyer"/>
    <x v="5"/>
    <s v="Hyderabad"/>
    <x v="3"/>
    <s v="Smartphones"/>
    <x v="3"/>
    <x v="13"/>
    <n v="1"/>
    <n v="31277.18"/>
    <n v="5"/>
    <n v="31277.18"/>
    <n v="22470.61"/>
    <n v="8806.57"/>
    <x v="0"/>
    <x v="32"/>
    <x v="0"/>
    <x v="0"/>
    <x v="0"/>
  </r>
  <r>
    <s v="ORD00579"/>
    <s v="2024-11-03"/>
    <s v="Priya Patel"/>
    <x v="1"/>
    <s v="Kolkata"/>
    <x v="3"/>
    <s v="Headphones"/>
    <x v="20"/>
    <x v="13"/>
    <n v="1"/>
    <n v="31094.13"/>
    <n v="15"/>
    <n v="31094.13"/>
    <n v="26370.560000000001"/>
    <n v="4723.57"/>
    <x v="1"/>
    <x v="29"/>
    <x v="0"/>
    <x v="3"/>
    <x v="0"/>
  </r>
  <r>
    <s v="ORD00580"/>
    <s v="2025-01-19"/>
    <s v="Rahul Sharma"/>
    <x v="4"/>
    <s v="Mumbai"/>
    <x v="0"/>
    <s v="Educational"/>
    <x v="13"/>
    <x v="0"/>
    <n v="4"/>
    <n v="15881.67"/>
    <n v="5"/>
    <n v="63526.68"/>
    <n v="48822.75"/>
    <n v="14703.93"/>
    <x v="2"/>
    <x v="17"/>
    <x v="0"/>
    <x v="6"/>
    <x v="1"/>
  </r>
  <r>
    <s v="ORD00581"/>
    <s v="2024-06-19"/>
    <s v="Priya Patel"/>
    <x v="0"/>
    <s v="New Delhi"/>
    <x v="1"/>
    <s v="General"/>
    <x v="8"/>
    <x v="1"/>
    <n v="4"/>
    <n v="16129.77"/>
    <n v="10"/>
    <n v="64519.08"/>
    <n v="50691.25"/>
    <n v="13827.83"/>
    <x v="0"/>
    <x v="34"/>
    <x v="0"/>
    <x v="10"/>
    <x v="0"/>
  </r>
  <r>
    <s v="ORD00582"/>
    <s v="2024-11-24"/>
    <s v="Anjali Gupta"/>
    <x v="4"/>
    <s v="Nagpur"/>
    <x v="2"/>
    <s v="Skincare"/>
    <x v="17"/>
    <x v="6"/>
    <n v="5"/>
    <n v="39478.69"/>
    <n v="20"/>
    <n v="197393.45"/>
    <n v="158117.22"/>
    <n v="39276.230000000003"/>
    <x v="4"/>
    <x v="29"/>
    <x v="0"/>
    <x v="3"/>
    <x v="0"/>
  </r>
  <r>
    <s v="ORD00583"/>
    <s v="2025-01-16"/>
    <s v="Amit Kumar"/>
    <x v="7"/>
    <s v="Coimbatore"/>
    <x v="0"/>
    <s v="Educational"/>
    <x v="13"/>
    <x v="0"/>
    <n v="3"/>
    <n v="29635.8"/>
    <n v="25"/>
    <n v="88907.4"/>
    <n v="59185.36"/>
    <n v="29722.04"/>
    <x v="4"/>
    <x v="12"/>
    <x v="0"/>
    <x v="6"/>
    <x v="1"/>
  </r>
  <r>
    <s v="ORD00584"/>
    <s v="2024-05-02"/>
    <s v="Rahul Sharma"/>
    <x v="5"/>
    <s v="Hyderabad"/>
    <x v="3"/>
    <s v="Smartphones"/>
    <x v="3"/>
    <x v="8"/>
    <n v="2"/>
    <n v="7892.27"/>
    <n v="25"/>
    <n v="15784.54"/>
    <n v="13017.87"/>
    <n v="2766.67"/>
    <x v="5"/>
    <x v="19"/>
    <x v="0"/>
    <x v="2"/>
    <x v="0"/>
  </r>
  <r>
    <s v="ORD00585"/>
    <s v="2024-11-13"/>
    <s v="Sneha Iyer"/>
    <x v="3"/>
    <s v="Mysuru"/>
    <x v="3"/>
    <s v="Smartwatches"/>
    <x v="9"/>
    <x v="14"/>
    <n v="3"/>
    <n v="45112.24"/>
    <n v="5"/>
    <n v="135336.72"/>
    <n v="111824.48"/>
    <n v="23512.240000000002"/>
    <x v="2"/>
    <x v="25"/>
    <x v="0"/>
    <x v="3"/>
    <x v="0"/>
  </r>
  <r>
    <s v="ORD00586"/>
    <s v="2024-02-15"/>
    <s v="Karan Shah"/>
    <x v="5"/>
    <s v="Hyderabad"/>
    <x v="1"/>
    <s v="General"/>
    <x v="1"/>
    <x v="1"/>
    <n v="4"/>
    <n v="26527.78"/>
    <n v="15"/>
    <n v="106111.12"/>
    <n v="89801.42"/>
    <n v="16309.7"/>
    <x v="5"/>
    <x v="13"/>
    <x v="0"/>
    <x v="8"/>
    <x v="0"/>
  </r>
  <r>
    <s v="ORD00587"/>
    <s v="2024-05-08"/>
    <s v="Rahul Sharma"/>
    <x v="4"/>
    <s v="Nagpur"/>
    <x v="4"/>
    <s v="Storage"/>
    <x v="4"/>
    <x v="4"/>
    <n v="5"/>
    <n v="37170.400000000001"/>
    <n v="5"/>
    <n v="185852"/>
    <n v="141870.47"/>
    <n v="43981.53"/>
    <x v="0"/>
    <x v="13"/>
    <x v="0"/>
    <x v="2"/>
    <x v="0"/>
  </r>
  <r>
    <s v="ORD00588"/>
    <s v="2024-02-15"/>
    <s v="Rohit Verma"/>
    <x v="4"/>
    <s v="Mumbai"/>
    <x v="1"/>
    <s v="General"/>
    <x v="1"/>
    <x v="1"/>
    <n v="5"/>
    <n v="47535.79"/>
    <n v="20"/>
    <n v="237678.95"/>
    <n v="154732.6"/>
    <n v="82946.350000000006"/>
    <x v="0"/>
    <x v="31"/>
    <x v="0"/>
    <x v="8"/>
    <x v="0"/>
  </r>
  <r>
    <s v="ORD00589"/>
    <s v="2024-12-16"/>
    <s v="Priya Patel"/>
    <x v="0"/>
    <s v="New Delhi"/>
    <x v="4"/>
    <s v="Cookware"/>
    <x v="16"/>
    <x v="9"/>
    <n v="4"/>
    <n v="30252.89"/>
    <n v="25"/>
    <n v="121011.56"/>
    <n v="98351.85"/>
    <n v="22659.71"/>
    <x v="2"/>
    <x v="27"/>
    <x v="0"/>
    <x v="1"/>
    <x v="0"/>
  </r>
  <r>
    <s v="ORD00590"/>
    <s v="2024-10-30"/>
    <s v="Rahul Sharma"/>
    <x v="3"/>
    <s v="Bengaluru"/>
    <x v="1"/>
    <s v="General"/>
    <x v="6"/>
    <x v="1"/>
    <n v="3"/>
    <n v="3126.9"/>
    <n v="20"/>
    <n v="9380.7000000000007"/>
    <n v="6858.41"/>
    <n v="2522.29"/>
    <x v="3"/>
    <x v="30"/>
    <x v="0"/>
    <x v="4"/>
    <x v="0"/>
  </r>
  <r>
    <s v="ORD00591"/>
    <s v="2024-04-29"/>
    <s v="Karan Shah"/>
    <x v="4"/>
    <s v="Nagpur"/>
    <x v="0"/>
    <s v="Educational"/>
    <x v="22"/>
    <x v="7"/>
    <n v="3"/>
    <n v="40295.47"/>
    <n v="15"/>
    <n v="120886.41"/>
    <n v="100568.61"/>
    <n v="20317.8"/>
    <x v="1"/>
    <x v="18"/>
    <x v="0"/>
    <x v="9"/>
    <x v="0"/>
  </r>
  <r>
    <s v="ORD00592"/>
    <s v="2024-06-18"/>
    <s v="Pooja Nair"/>
    <x v="5"/>
    <s v="Hyderabad"/>
    <x v="2"/>
    <s v="Skincare"/>
    <x v="10"/>
    <x v="2"/>
    <n v="4"/>
    <n v="462"/>
    <n v="30"/>
    <n v="1848"/>
    <n v="1373.89"/>
    <n v="474.11"/>
    <x v="3"/>
    <x v="20"/>
    <x v="0"/>
    <x v="10"/>
    <x v="0"/>
  </r>
  <r>
    <s v="ORD00593"/>
    <s v="2024-03-15"/>
    <s v="Neha Singh"/>
    <x v="0"/>
    <s v="New Delhi"/>
    <x v="2"/>
    <s v="Skincare"/>
    <x v="11"/>
    <x v="11"/>
    <n v="3"/>
    <n v="22475.54"/>
    <n v="25"/>
    <n v="67426.62"/>
    <n v="52232.72"/>
    <n v="15193.9"/>
    <x v="1"/>
    <x v="14"/>
    <x v="0"/>
    <x v="7"/>
    <x v="0"/>
  </r>
  <r>
    <s v="ORD00594"/>
    <s v="2024-09-20"/>
    <s v="Karan Shah"/>
    <x v="3"/>
    <s v="Bengaluru"/>
    <x v="3"/>
    <s v="Laptops"/>
    <x v="20"/>
    <x v="12"/>
    <n v="2"/>
    <n v="19218.55"/>
    <n v="15"/>
    <n v="38437.1"/>
    <n v="28696.76"/>
    <n v="9740.34"/>
    <x v="2"/>
    <x v="16"/>
    <x v="0"/>
    <x v="0"/>
    <x v="0"/>
  </r>
  <r>
    <s v="ORD00595"/>
    <s v="2024-04-16"/>
    <s v="Priya Patel"/>
    <x v="2"/>
    <s v="Surat"/>
    <x v="3"/>
    <s v="Smartwatches"/>
    <x v="3"/>
    <x v="5"/>
    <n v="5"/>
    <n v="31162.39"/>
    <n v="30"/>
    <n v="155811.95000000001"/>
    <n v="131143.26999999999"/>
    <n v="24668.68"/>
    <x v="4"/>
    <x v="20"/>
    <x v="0"/>
    <x v="9"/>
    <x v="0"/>
  </r>
  <r>
    <s v="ORD00596"/>
    <s v="2024-06-15"/>
    <s v="Neha Singh"/>
    <x v="0"/>
    <s v="New Delhi"/>
    <x v="2"/>
    <s v="Makeup"/>
    <x v="17"/>
    <x v="6"/>
    <n v="1"/>
    <n v="16017.54"/>
    <n v="10"/>
    <n v="16017.54"/>
    <n v="12576.71"/>
    <n v="3440.83"/>
    <x v="1"/>
    <x v="0"/>
    <x v="0"/>
    <x v="10"/>
    <x v="0"/>
  </r>
  <r>
    <s v="ORD00597"/>
    <s v="2024-07-05"/>
    <s v="Amit Kumar"/>
    <x v="7"/>
    <s v="Chennai"/>
    <x v="4"/>
    <s v="Cookware"/>
    <x v="4"/>
    <x v="10"/>
    <n v="4"/>
    <n v="19008.810000000001"/>
    <n v="15"/>
    <n v="76035.240000000005"/>
    <n v="63872.13"/>
    <n v="12163.11"/>
    <x v="3"/>
    <x v="24"/>
    <x v="0"/>
    <x v="5"/>
    <x v="0"/>
  </r>
  <r>
    <s v="ORD00598"/>
    <s v="2024-12-02"/>
    <s v="Rahul Sharma"/>
    <x v="1"/>
    <s v="Kolkata"/>
    <x v="3"/>
    <s v="Laptops"/>
    <x v="20"/>
    <x v="12"/>
    <n v="3"/>
    <n v="22353.43"/>
    <n v="20"/>
    <n v="67060.289999999994"/>
    <n v="51328.38"/>
    <n v="15731.91"/>
    <x v="0"/>
    <x v="11"/>
    <x v="0"/>
    <x v="1"/>
    <x v="0"/>
  </r>
  <r>
    <s v="ORD00599"/>
    <s v="2025-01-30"/>
    <s v="Anjali Gupta"/>
    <x v="1"/>
    <s v="Kolkata"/>
    <x v="4"/>
    <s v="Cookware"/>
    <x v="5"/>
    <x v="4"/>
    <n v="5"/>
    <n v="30122.28"/>
    <n v="15"/>
    <n v="150611.4"/>
    <n v="111135.99"/>
    <n v="39475.410000000003"/>
    <x v="1"/>
    <x v="38"/>
    <x v="0"/>
    <x v="6"/>
    <x v="1"/>
  </r>
  <r>
    <s v="ORD00600"/>
    <s v="2024-05-29"/>
    <s v="Rohit Verma"/>
    <x v="1"/>
    <s v="Kolkata"/>
    <x v="3"/>
    <s v="Laptops"/>
    <x v="9"/>
    <x v="13"/>
    <n v="5"/>
    <n v="7289.72"/>
    <n v="15"/>
    <n v="36448.6"/>
    <n v="30770.57"/>
    <n v="5678.03"/>
    <x v="2"/>
    <x v="30"/>
    <x v="0"/>
    <x v="2"/>
    <x v="0"/>
  </r>
  <r>
    <s v="ORD00601"/>
    <s v="2024-02-22"/>
    <s v="Sneha Iyer"/>
    <x v="5"/>
    <s v="Hyderabad"/>
    <x v="3"/>
    <s v="Headphones"/>
    <x v="3"/>
    <x v="8"/>
    <n v="4"/>
    <n v="32122.43"/>
    <n v="20"/>
    <n v="128489.72"/>
    <n v="84984.21"/>
    <n v="43505.51"/>
    <x v="3"/>
    <x v="18"/>
    <x v="0"/>
    <x v="8"/>
    <x v="0"/>
  </r>
  <r>
    <s v="ORD00602"/>
    <s v="2024-04-24"/>
    <s v="Rohit Verma"/>
    <x v="6"/>
    <s v="Lucknow"/>
    <x v="1"/>
    <s v="General"/>
    <x v="6"/>
    <x v="1"/>
    <n v="3"/>
    <n v="43852.34"/>
    <n v="15"/>
    <n v="131557.01999999999"/>
    <n v="106178.28"/>
    <n v="25378.74"/>
    <x v="5"/>
    <x v="24"/>
    <x v="0"/>
    <x v="9"/>
    <x v="0"/>
  </r>
  <r>
    <s v="ORD00603"/>
    <s v="2024-07-18"/>
    <s v="Priya Patel"/>
    <x v="4"/>
    <s v="Pune"/>
    <x v="4"/>
    <s v="Cookware"/>
    <x v="16"/>
    <x v="10"/>
    <n v="1"/>
    <n v="23005.86"/>
    <n v="15"/>
    <n v="23005.86"/>
    <n v="17165.91"/>
    <n v="5839.95"/>
    <x v="4"/>
    <x v="38"/>
    <x v="0"/>
    <x v="5"/>
    <x v="0"/>
  </r>
  <r>
    <s v="ORD00604"/>
    <s v="2024-10-09"/>
    <s v="Amit Kumar"/>
    <x v="3"/>
    <s v="Mysuru"/>
    <x v="1"/>
    <s v="General"/>
    <x v="6"/>
    <x v="1"/>
    <n v="1"/>
    <n v="48580.6"/>
    <n v="15"/>
    <n v="48580.6"/>
    <n v="40633.06"/>
    <n v="7947.54"/>
    <x v="1"/>
    <x v="32"/>
    <x v="2"/>
    <x v="4"/>
    <x v="0"/>
  </r>
  <r>
    <s v="ORD00605"/>
    <s v="2025-02-05"/>
    <s v="Priya Patel"/>
    <x v="2"/>
    <s v="Surat"/>
    <x v="2"/>
    <s v="Skincare"/>
    <x v="2"/>
    <x v="11"/>
    <n v="5"/>
    <n v="10320.870000000001"/>
    <n v="10"/>
    <n v="51604.35"/>
    <n v="38343.21"/>
    <n v="13261.14"/>
    <x v="2"/>
    <x v="18"/>
    <x v="0"/>
    <x v="8"/>
    <x v="1"/>
  </r>
  <r>
    <s v="ORD00606"/>
    <s v="2024-07-06"/>
    <s v="Karan Shah"/>
    <x v="6"/>
    <s v="Noida"/>
    <x v="4"/>
    <s v="Storage"/>
    <x v="4"/>
    <x v="9"/>
    <n v="1"/>
    <n v="43149.24"/>
    <n v="20"/>
    <n v="43149.24"/>
    <n v="32029.360000000001"/>
    <n v="11119.88"/>
    <x v="1"/>
    <x v="30"/>
    <x v="0"/>
    <x v="5"/>
    <x v="0"/>
  </r>
  <r>
    <s v="ORD00607"/>
    <s v="2025-01-17"/>
    <s v="Anjali Gupta"/>
    <x v="5"/>
    <s v="Hyderabad"/>
    <x v="0"/>
    <s v="Educational"/>
    <x v="22"/>
    <x v="0"/>
    <n v="4"/>
    <n v="567.80999999999995"/>
    <n v="15"/>
    <n v="2271.2399999999998"/>
    <n v="1748.45"/>
    <n v="522.79"/>
    <x v="2"/>
    <x v="16"/>
    <x v="0"/>
    <x v="6"/>
    <x v="1"/>
  </r>
  <r>
    <s v="ORD00608"/>
    <s v="2024-09-01"/>
    <s v="Karan Shah"/>
    <x v="3"/>
    <s v="Bengaluru"/>
    <x v="0"/>
    <s v="Fiction"/>
    <x v="13"/>
    <x v="7"/>
    <n v="5"/>
    <n v="6705.43"/>
    <n v="15"/>
    <n v="33527.15"/>
    <n v="25570.51"/>
    <n v="7956.64"/>
    <x v="2"/>
    <x v="16"/>
    <x v="2"/>
    <x v="0"/>
    <x v="0"/>
  </r>
  <r>
    <s v="ORD00609"/>
    <s v="2025-01-01"/>
    <s v="Rohit Verma"/>
    <x v="6"/>
    <s v="Lucknow"/>
    <x v="1"/>
    <s v="General"/>
    <x v="15"/>
    <x v="1"/>
    <n v="5"/>
    <n v="29974.35"/>
    <n v="10"/>
    <n v="149871.75"/>
    <n v="113512.54"/>
    <n v="36359.21"/>
    <x v="2"/>
    <x v="4"/>
    <x v="0"/>
    <x v="6"/>
    <x v="1"/>
  </r>
  <r>
    <s v="ORD00610"/>
    <s v="2024-07-15"/>
    <s v="Neha Singh"/>
    <x v="0"/>
    <s v="New Delhi"/>
    <x v="3"/>
    <s v="Laptops"/>
    <x v="9"/>
    <x v="12"/>
    <n v="4"/>
    <n v="5739.3"/>
    <n v="20"/>
    <n v="22957.200000000001"/>
    <n v="15080.54"/>
    <n v="7876.66"/>
    <x v="4"/>
    <x v="33"/>
    <x v="0"/>
    <x v="5"/>
    <x v="0"/>
  </r>
  <r>
    <s v="ORD00611"/>
    <s v="2024-07-20"/>
    <s v="Karan Shah"/>
    <x v="3"/>
    <s v="Bengaluru"/>
    <x v="1"/>
    <s v="General"/>
    <x v="1"/>
    <x v="1"/>
    <n v="4"/>
    <n v="21417.72"/>
    <n v="20"/>
    <n v="85670.88"/>
    <n v="64745.31"/>
    <n v="20925.57"/>
    <x v="0"/>
    <x v="16"/>
    <x v="0"/>
    <x v="5"/>
    <x v="0"/>
  </r>
  <r>
    <s v="ORD00612"/>
    <s v="2025-01-11"/>
    <s v="Rahul Sharma"/>
    <x v="4"/>
    <s v="Mumbai"/>
    <x v="4"/>
    <s v="Storage"/>
    <x v="7"/>
    <x v="10"/>
    <n v="4"/>
    <n v="25404.68"/>
    <n v="15"/>
    <n v="101618.72"/>
    <n v="77171.31"/>
    <n v="24447.41"/>
    <x v="4"/>
    <x v="33"/>
    <x v="0"/>
    <x v="6"/>
    <x v="1"/>
  </r>
  <r>
    <s v="ORD00613"/>
    <s v="2024-02-13"/>
    <s v="Rohit Verma"/>
    <x v="7"/>
    <s v="Coimbatore"/>
    <x v="4"/>
    <s v="Storage"/>
    <x v="5"/>
    <x v="10"/>
    <n v="2"/>
    <n v="27582.01"/>
    <n v="30"/>
    <n v="55164.02"/>
    <n v="41319.79"/>
    <n v="13844.23"/>
    <x v="0"/>
    <x v="39"/>
    <x v="2"/>
    <x v="8"/>
    <x v="0"/>
  </r>
  <r>
    <s v="ORD00614"/>
    <s v="2024-07-07"/>
    <s v="Karan Shah"/>
    <x v="7"/>
    <s v="Chennai"/>
    <x v="4"/>
    <s v="Storage"/>
    <x v="16"/>
    <x v="4"/>
    <n v="3"/>
    <n v="23584.89"/>
    <n v="30"/>
    <n v="70754.67"/>
    <n v="50785.57"/>
    <n v="19969.099999999999"/>
    <x v="2"/>
    <x v="27"/>
    <x v="0"/>
    <x v="5"/>
    <x v="0"/>
  </r>
  <r>
    <s v="ORD00615"/>
    <s v="2024-08-29"/>
    <s v="Pooja Nair"/>
    <x v="0"/>
    <s v="New Delhi"/>
    <x v="0"/>
    <s v="Educational"/>
    <x v="0"/>
    <x v="7"/>
    <n v="3"/>
    <n v="24444.89"/>
    <n v="20"/>
    <n v="73334.67"/>
    <n v="58269.66"/>
    <n v="15065.01"/>
    <x v="2"/>
    <x v="12"/>
    <x v="0"/>
    <x v="11"/>
    <x v="0"/>
  </r>
  <r>
    <s v="ORD00616"/>
    <s v="2024-03-07"/>
    <s v="Neha Singh"/>
    <x v="7"/>
    <s v="Chennai"/>
    <x v="1"/>
    <s v="General"/>
    <x v="24"/>
    <x v="1"/>
    <n v="2"/>
    <n v="8080.22"/>
    <n v="20"/>
    <n v="16160.44"/>
    <n v="13447.45"/>
    <n v="2712.99"/>
    <x v="0"/>
    <x v="22"/>
    <x v="0"/>
    <x v="7"/>
    <x v="0"/>
  </r>
  <r>
    <s v="ORD00617"/>
    <s v="2024-07-14"/>
    <s v="Arjun Mehta"/>
    <x v="6"/>
    <s v="Noida"/>
    <x v="2"/>
    <s v="Makeup"/>
    <x v="11"/>
    <x v="11"/>
    <n v="2"/>
    <n v="27860.799999999999"/>
    <n v="25"/>
    <n v="55721.599999999999"/>
    <n v="43736.03"/>
    <n v="11985.57"/>
    <x v="4"/>
    <x v="8"/>
    <x v="0"/>
    <x v="5"/>
    <x v="0"/>
  </r>
  <r>
    <s v="ORD00618"/>
    <s v="2024-06-27"/>
    <s v="Rahul Sharma"/>
    <x v="3"/>
    <s v="Mysuru"/>
    <x v="0"/>
    <s v="Educational"/>
    <x v="21"/>
    <x v="7"/>
    <n v="3"/>
    <n v="30468.47"/>
    <n v="15"/>
    <n v="91405.41"/>
    <n v="68894.66"/>
    <n v="22510.75"/>
    <x v="4"/>
    <x v="5"/>
    <x v="0"/>
    <x v="10"/>
    <x v="0"/>
  </r>
  <r>
    <s v="ORD00619"/>
    <s v="2024-12-28"/>
    <s v="Rohit Verma"/>
    <x v="2"/>
    <s v="Surat"/>
    <x v="2"/>
    <s v="Makeup"/>
    <x v="11"/>
    <x v="11"/>
    <n v="1"/>
    <n v="7718.78"/>
    <n v="10"/>
    <n v="7718.78"/>
    <n v="6028.13"/>
    <n v="1690.65"/>
    <x v="0"/>
    <x v="19"/>
    <x v="2"/>
    <x v="1"/>
    <x v="0"/>
  </r>
  <r>
    <s v="ORD00620"/>
    <s v="2024-12-18"/>
    <s v="Rahul Sharma"/>
    <x v="3"/>
    <s v="Mysuru"/>
    <x v="2"/>
    <s v="Skincare"/>
    <x v="2"/>
    <x v="11"/>
    <n v="1"/>
    <n v="34866.42"/>
    <n v="25"/>
    <n v="34866.42"/>
    <n v="28849.89"/>
    <n v="6016.53"/>
    <x v="3"/>
    <x v="22"/>
    <x v="0"/>
    <x v="1"/>
    <x v="0"/>
  </r>
  <r>
    <s v="ORD00621"/>
    <s v="2024-10-09"/>
    <s v="Anjali Gupta"/>
    <x v="3"/>
    <s v="Mysuru"/>
    <x v="1"/>
    <s v="General"/>
    <x v="6"/>
    <x v="1"/>
    <n v="1"/>
    <n v="5369.5"/>
    <n v="5"/>
    <n v="5369.5"/>
    <n v="4241.09"/>
    <n v="1128.4100000000001"/>
    <x v="3"/>
    <x v="3"/>
    <x v="0"/>
    <x v="4"/>
    <x v="0"/>
  </r>
  <r>
    <s v="ORD00622"/>
    <s v="2024-02-15"/>
    <s v="Priya Patel"/>
    <x v="4"/>
    <s v="Nagpur"/>
    <x v="2"/>
    <s v="Skincare"/>
    <x v="10"/>
    <x v="11"/>
    <n v="5"/>
    <n v="18338.759999999998"/>
    <n v="30"/>
    <n v="91693.8"/>
    <n v="68337.820000000007"/>
    <n v="23355.98"/>
    <x v="2"/>
    <x v="9"/>
    <x v="0"/>
    <x v="8"/>
    <x v="0"/>
  </r>
  <r>
    <s v="ORD00623"/>
    <s v="2024-11-28"/>
    <s v="Pooja Nair"/>
    <x v="3"/>
    <s v="Mysuru"/>
    <x v="3"/>
    <s v="Smartwatches"/>
    <x v="20"/>
    <x v="3"/>
    <n v="4"/>
    <n v="48287.49"/>
    <n v="15"/>
    <n v="193149.96"/>
    <n v="147650.67000000001"/>
    <n v="45499.29"/>
    <x v="1"/>
    <x v="19"/>
    <x v="1"/>
    <x v="3"/>
    <x v="0"/>
  </r>
  <r>
    <s v="ORD00624"/>
    <s v="2024-07-13"/>
    <s v="Rahul Sharma"/>
    <x v="1"/>
    <s v="Kolkata"/>
    <x v="1"/>
    <s v="General"/>
    <x v="15"/>
    <x v="1"/>
    <n v="4"/>
    <n v="18161.009999999998"/>
    <n v="5"/>
    <n v="72644.039999999994"/>
    <n v="48296.82"/>
    <n v="24347.22"/>
    <x v="4"/>
    <x v="10"/>
    <x v="1"/>
    <x v="5"/>
    <x v="0"/>
  </r>
  <r>
    <s v="ORD00625"/>
    <s v="2024-07-14"/>
    <s v="Rohit Verma"/>
    <x v="4"/>
    <s v="Nagpur"/>
    <x v="1"/>
    <s v="General"/>
    <x v="1"/>
    <x v="1"/>
    <n v="3"/>
    <n v="21064.01"/>
    <n v="10"/>
    <n v="63192.03"/>
    <n v="41259.15"/>
    <n v="21932.880000000001"/>
    <x v="5"/>
    <x v="30"/>
    <x v="0"/>
    <x v="5"/>
    <x v="0"/>
  </r>
  <r>
    <s v="ORD00626"/>
    <s v="2025-02-07"/>
    <s v="Arjun Mehta"/>
    <x v="5"/>
    <s v="Hyderabad"/>
    <x v="0"/>
    <s v="Educational"/>
    <x v="21"/>
    <x v="0"/>
    <n v="5"/>
    <n v="8598.2199999999993"/>
    <n v="20"/>
    <n v="42991.1"/>
    <n v="28903.98"/>
    <n v="14087.12"/>
    <x v="1"/>
    <x v="23"/>
    <x v="0"/>
    <x v="8"/>
    <x v="1"/>
  </r>
  <r>
    <s v="ORD00627"/>
    <s v="2024-11-05"/>
    <s v="Arjun Mehta"/>
    <x v="7"/>
    <s v="Chennai"/>
    <x v="3"/>
    <s v="Laptops"/>
    <x v="3"/>
    <x v="12"/>
    <n v="2"/>
    <n v="27897.4"/>
    <n v="25"/>
    <n v="55794.8"/>
    <n v="44558.29"/>
    <n v="11236.51"/>
    <x v="3"/>
    <x v="31"/>
    <x v="0"/>
    <x v="3"/>
    <x v="0"/>
  </r>
  <r>
    <s v="ORD00628"/>
    <s v="2024-08-27"/>
    <s v="Amit Kumar"/>
    <x v="3"/>
    <s v="Bengaluru"/>
    <x v="2"/>
    <s v="Skincare"/>
    <x v="11"/>
    <x v="6"/>
    <n v="2"/>
    <n v="3153.16"/>
    <n v="10"/>
    <n v="6306.32"/>
    <n v="5143.76"/>
    <n v="1162.56"/>
    <x v="5"/>
    <x v="2"/>
    <x v="0"/>
    <x v="11"/>
    <x v="0"/>
  </r>
  <r>
    <s v="ORD00629"/>
    <s v="2024-10-01"/>
    <s v="Arjun Mehta"/>
    <x v="6"/>
    <s v="Lucknow"/>
    <x v="3"/>
    <s v="Headphones"/>
    <x v="20"/>
    <x v="12"/>
    <n v="1"/>
    <n v="25634.9"/>
    <n v="10"/>
    <n v="25634.9"/>
    <n v="20624.95"/>
    <n v="5009.95"/>
    <x v="5"/>
    <x v="17"/>
    <x v="0"/>
    <x v="4"/>
    <x v="0"/>
  </r>
  <r>
    <s v="ORD00630"/>
    <s v="2024-06-14"/>
    <s v="Pooja Nair"/>
    <x v="7"/>
    <s v="Coimbatore"/>
    <x v="3"/>
    <s v="Headphones"/>
    <x v="12"/>
    <x v="12"/>
    <n v="3"/>
    <n v="9427.83"/>
    <n v="15"/>
    <n v="28283.49"/>
    <n v="19756.169999999998"/>
    <n v="8527.32"/>
    <x v="5"/>
    <x v="24"/>
    <x v="0"/>
    <x v="10"/>
    <x v="0"/>
  </r>
  <r>
    <s v="ORD00631"/>
    <s v="2024-10-10"/>
    <s v="Priya Patel"/>
    <x v="3"/>
    <s v="Bengaluru"/>
    <x v="2"/>
    <s v="Makeup"/>
    <x v="19"/>
    <x v="2"/>
    <n v="1"/>
    <n v="22564.13"/>
    <n v="20"/>
    <n v="22564.13"/>
    <n v="18829.96"/>
    <n v="3734.17"/>
    <x v="2"/>
    <x v="3"/>
    <x v="0"/>
    <x v="4"/>
    <x v="0"/>
  </r>
  <r>
    <s v="ORD00632"/>
    <s v="2025-01-10"/>
    <s v="Rahul Sharma"/>
    <x v="5"/>
    <s v="Hyderabad"/>
    <x v="1"/>
    <s v="General"/>
    <x v="6"/>
    <x v="1"/>
    <n v="1"/>
    <n v="47288.95"/>
    <n v="20"/>
    <n v="47288.95"/>
    <n v="31339.15"/>
    <n v="15949.8"/>
    <x v="2"/>
    <x v="4"/>
    <x v="2"/>
    <x v="6"/>
    <x v="1"/>
  </r>
  <r>
    <s v="ORD00633"/>
    <s v="2024-10-09"/>
    <s v="Karan Shah"/>
    <x v="4"/>
    <s v="Mumbai"/>
    <x v="0"/>
    <s v="Educational"/>
    <x v="0"/>
    <x v="0"/>
    <n v="3"/>
    <n v="24537.79"/>
    <n v="30"/>
    <n v="73613.37"/>
    <n v="48860.88"/>
    <n v="24752.49"/>
    <x v="4"/>
    <x v="14"/>
    <x v="0"/>
    <x v="4"/>
    <x v="0"/>
  </r>
  <r>
    <s v="ORD00634"/>
    <s v="2024-06-15"/>
    <s v="Pooja Nair"/>
    <x v="2"/>
    <s v="Surat"/>
    <x v="3"/>
    <s v="Smartphones"/>
    <x v="3"/>
    <x v="5"/>
    <n v="5"/>
    <n v="22226.76"/>
    <n v="5"/>
    <n v="111133.8"/>
    <n v="85827.04"/>
    <n v="25306.76"/>
    <x v="0"/>
    <x v="25"/>
    <x v="0"/>
    <x v="10"/>
    <x v="0"/>
  </r>
  <r>
    <s v="ORD00635"/>
    <s v="2024-06-23"/>
    <s v="Rahul Sharma"/>
    <x v="7"/>
    <s v="Coimbatore"/>
    <x v="2"/>
    <s v="Skincare"/>
    <x v="17"/>
    <x v="2"/>
    <n v="2"/>
    <n v="14103.34"/>
    <n v="25"/>
    <n v="28206.68"/>
    <n v="21635.21"/>
    <n v="6571.47"/>
    <x v="3"/>
    <x v="14"/>
    <x v="0"/>
    <x v="10"/>
    <x v="0"/>
  </r>
  <r>
    <s v="ORD00636"/>
    <s v="2024-09-22"/>
    <s v="Rohit Verma"/>
    <x v="7"/>
    <s v="Coimbatore"/>
    <x v="4"/>
    <s v="Storage"/>
    <x v="23"/>
    <x v="9"/>
    <n v="1"/>
    <n v="19376.32"/>
    <n v="20"/>
    <n v="19376.32"/>
    <n v="16187.61"/>
    <n v="3188.71"/>
    <x v="1"/>
    <x v="16"/>
    <x v="1"/>
    <x v="0"/>
    <x v="0"/>
  </r>
  <r>
    <s v="ORD00637"/>
    <s v="2024-05-11"/>
    <s v="Sneha Iyer"/>
    <x v="0"/>
    <s v="New Delhi"/>
    <x v="0"/>
    <s v="Fiction"/>
    <x v="0"/>
    <x v="0"/>
    <n v="1"/>
    <n v="41619.15"/>
    <n v="10"/>
    <n v="41619.15"/>
    <n v="33182.47"/>
    <n v="8436.68"/>
    <x v="0"/>
    <x v="35"/>
    <x v="0"/>
    <x v="2"/>
    <x v="0"/>
  </r>
  <r>
    <s v="ORD00638"/>
    <s v="2024-09-15"/>
    <s v="Priya Patel"/>
    <x v="1"/>
    <s v="Kolkata"/>
    <x v="4"/>
    <s v="Storage"/>
    <x v="4"/>
    <x v="4"/>
    <n v="3"/>
    <n v="14084.61"/>
    <n v="20"/>
    <n v="42253.83"/>
    <n v="28202.22"/>
    <n v="14051.61"/>
    <x v="2"/>
    <x v="35"/>
    <x v="0"/>
    <x v="0"/>
    <x v="0"/>
  </r>
  <r>
    <s v="ORD00639"/>
    <s v="2024-12-23"/>
    <s v="Anjali Gupta"/>
    <x v="0"/>
    <s v="New Delhi"/>
    <x v="3"/>
    <s v="Laptops"/>
    <x v="3"/>
    <x v="3"/>
    <n v="5"/>
    <n v="25935.66"/>
    <n v="25"/>
    <n v="129678.3"/>
    <n v="109759.51"/>
    <n v="19918.79"/>
    <x v="0"/>
    <x v="13"/>
    <x v="0"/>
    <x v="1"/>
    <x v="0"/>
  </r>
  <r>
    <s v="ORD00640"/>
    <s v="2024-12-10"/>
    <s v="Sneha Iyer"/>
    <x v="2"/>
    <s v="Ahmedabad"/>
    <x v="3"/>
    <s v="Smartwatches"/>
    <x v="3"/>
    <x v="13"/>
    <n v="5"/>
    <n v="30657.64"/>
    <n v="20"/>
    <n v="153288.20000000001"/>
    <n v="104540.41"/>
    <n v="48747.79"/>
    <x v="5"/>
    <x v="38"/>
    <x v="0"/>
    <x v="1"/>
    <x v="0"/>
  </r>
  <r>
    <s v="ORD00641"/>
    <s v="2024-07-06"/>
    <s v="Priya Patel"/>
    <x v="5"/>
    <s v="Hyderabad"/>
    <x v="1"/>
    <s v="General"/>
    <x v="24"/>
    <x v="1"/>
    <n v="3"/>
    <n v="13596.18"/>
    <n v="15"/>
    <n v="40788.54"/>
    <n v="30503.96"/>
    <n v="10284.58"/>
    <x v="4"/>
    <x v="36"/>
    <x v="1"/>
    <x v="5"/>
    <x v="0"/>
  </r>
  <r>
    <s v="ORD00642"/>
    <s v="2024-12-03"/>
    <s v="Amit Kumar"/>
    <x v="2"/>
    <s v="Ahmedabad"/>
    <x v="2"/>
    <s v="Makeup"/>
    <x v="17"/>
    <x v="11"/>
    <n v="5"/>
    <n v="28379.75"/>
    <n v="30"/>
    <n v="141898.75"/>
    <n v="109053.96"/>
    <n v="32844.79"/>
    <x v="3"/>
    <x v="2"/>
    <x v="0"/>
    <x v="1"/>
    <x v="0"/>
  </r>
  <r>
    <s v="ORD00643"/>
    <s v="2024-04-05"/>
    <s v="Priya Patel"/>
    <x v="7"/>
    <s v="Coimbatore"/>
    <x v="1"/>
    <s v="General"/>
    <x v="24"/>
    <x v="1"/>
    <n v="2"/>
    <n v="12422.09"/>
    <n v="15"/>
    <n v="24844.18"/>
    <n v="16313.72"/>
    <n v="8530.4599999999991"/>
    <x v="3"/>
    <x v="20"/>
    <x v="0"/>
    <x v="9"/>
    <x v="0"/>
  </r>
  <r>
    <s v="ORD00644"/>
    <s v="2024-10-31"/>
    <s v="Amit Kumar"/>
    <x v="4"/>
    <s v="Pune"/>
    <x v="2"/>
    <s v="Makeup"/>
    <x v="19"/>
    <x v="2"/>
    <n v="1"/>
    <n v="18747.939999999999"/>
    <n v="15"/>
    <n v="18747.939999999999"/>
    <n v="12295.23"/>
    <n v="6452.71"/>
    <x v="5"/>
    <x v="21"/>
    <x v="0"/>
    <x v="4"/>
    <x v="0"/>
  </r>
  <r>
    <s v="ORD00645"/>
    <s v="2024-08-08"/>
    <s v="Pooja Nair"/>
    <x v="1"/>
    <s v="Kolkata"/>
    <x v="3"/>
    <s v="Smartphones"/>
    <x v="3"/>
    <x v="8"/>
    <n v="1"/>
    <n v="35524.559999999998"/>
    <n v="20"/>
    <n v="35524.559999999998"/>
    <n v="26421.45"/>
    <n v="9103.11"/>
    <x v="1"/>
    <x v="6"/>
    <x v="0"/>
    <x v="11"/>
    <x v="0"/>
  </r>
  <r>
    <s v="ORD00646"/>
    <s v="2024-06-21"/>
    <s v="Rahul Sharma"/>
    <x v="6"/>
    <s v="Noida"/>
    <x v="1"/>
    <s v="General"/>
    <x v="15"/>
    <x v="1"/>
    <n v="1"/>
    <n v="36454.629999999997"/>
    <n v="5"/>
    <n v="36454.629999999997"/>
    <n v="24313.13"/>
    <n v="12141.5"/>
    <x v="1"/>
    <x v="17"/>
    <x v="0"/>
    <x v="10"/>
    <x v="0"/>
  </r>
  <r>
    <s v="ORD00647"/>
    <s v="2024-09-28"/>
    <s v="Neha Singh"/>
    <x v="6"/>
    <s v="Lucknow"/>
    <x v="3"/>
    <s v="Laptops"/>
    <x v="18"/>
    <x v="13"/>
    <n v="3"/>
    <n v="23249.27"/>
    <n v="5"/>
    <n v="69747.81"/>
    <n v="45767.27"/>
    <n v="23980.54"/>
    <x v="4"/>
    <x v="21"/>
    <x v="0"/>
    <x v="0"/>
    <x v="0"/>
  </r>
  <r>
    <s v="ORD00648"/>
    <s v="2024-05-12"/>
    <s v="Sneha Iyer"/>
    <x v="4"/>
    <s v="Mumbai"/>
    <x v="2"/>
    <s v="Skincare"/>
    <x v="19"/>
    <x v="11"/>
    <n v="1"/>
    <n v="48842.53"/>
    <n v="10"/>
    <n v="48842.53"/>
    <n v="33939.019999999997"/>
    <n v="14903.51"/>
    <x v="5"/>
    <x v="29"/>
    <x v="0"/>
    <x v="2"/>
    <x v="0"/>
  </r>
  <r>
    <s v="ORD00649"/>
    <s v="2024-05-11"/>
    <s v="Amit Kumar"/>
    <x v="3"/>
    <s v="Mysuru"/>
    <x v="3"/>
    <s v="Smartphones"/>
    <x v="9"/>
    <x v="14"/>
    <n v="1"/>
    <n v="21881.01"/>
    <n v="30"/>
    <n v="21881.01"/>
    <n v="18533.86"/>
    <n v="3347.15"/>
    <x v="2"/>
    <x v="0"/>
    <x v="2"/>
    <x v="2"/>
    <x v="0"/>
  </r>
  <r>
    <s v="ORD00650"/>
    <s v="2024-10-29"/>
    <s v="Arjun Mehta"/>
    <x v="4"/>
    <s v="Nagpur"/>
    <x v="0"/>
    <s v="Educational"/>
    <x v="0"/>
    <x v="0"/>
    <n v="5"/>
    <n v="38964.36"/>
    <n v="30"/>
    <n v="194821.8"/>
    <n v="158971.07999999999"/>
    <n v="35850.720000000001"/>
    <x v="2"/>
    <x v="1"/>
    <x v="0"/>
    <x v="4"/>
    <x v="0"/>
  </r>
  <r>
    <s v="ORD00651"/>
    <s v="2024-03-24"/>
    <s v="Karan Shah"/>
    <x v="1"/>
    <s v="Kolkata"/>
    <x v="4"/>
    <s v="Cookware"/>
    <x v="23"/>
    <x v="9"/>
    <n v="4"/>
    <n v="1435.38"/>
    <n v="10"/>
    <n v="5741.52"/>
    <n v="3826.48"/>
    <n v="1915.04"/>
    <x v="1"/>
    <x v="6"/>
    <x v="0"/>
    <x v="7"/>
    <x v="0"/>
  </r>
  <r>
    <s v="ORD00652"/>
    <s v="2024-05-18"/>
    <s v="Karan Shah"/>
    <x v="2"/>
    <s v="Ahmedabad"/>
    <x v="3"/>
    <s v="Headphones"/>
    <x v="18"/>
    <x v="12"/>
    <n v="5"/>
    <n v="2536.16"/>
    <n v="5"/>
    <n v="12680.8"/>
    <n v="8614.2199999999993"/>
    <n v="4066.58"/>
    <x v="3"/>
    <x v="31"/>
    <x v="0"/>
    <x v="2"/>
    <x v="0"/>
  </r>
  <r>
    <s v="ORD00653"/>
    <s v="2024-07-28"/>
    <s v="Rahul Sharma"/>
    <x v="0"/>
    <s v="New Delhi"/>
    <x v="3"/>
    <s v="Smartphones"/>
    <x v="20"/>
    <x v="5"/>
    <n v="5"/>
    <n v="21992.38"/>
    <n v="20"/>
    <n v="109961.9"/>
    <n v="78390.22"/>
    <n v="31571.68"/>
    <x v="0"/>
    <x v="1"/>
    <x v="0"/>
    <x v="5"/>
    <x v="0"/>
  </r>
  <r>
    <s v="ORD00654"/>
    <s v="2024-10-16"/>
    <s v="Sneha Iyer"/>
    <x v="3"/>
    <s v="Mysuru"/>
    <x v="2"/>
    <s v="Makeup"/>
    <x v="11"/>
    <x v="6"/>
    <n v="2"/>
    <n v="20194.2"/>
    <n v="15"/>
    <n v="40388.400000000001"/>
    <n v="26324.12"/>
    <n v="14064.28"/>
    <x v="0"/>
    <x v="4"/>
    <x v="0"/>
    <x v="4"/>
    <x v="0"/>
  </r>
  <r>
    <s v="ORD00655"/>
    <s v="2024-04-25"/>
    <s v="Neha Singh"/>
    <x v="6"/>
    <s v="Noida"/>
    <x v="1"/>
    <s v="General"/>
    <x v="8"/>
    <x v="1"/>
    <n v="3"/>
    <n v="18789.810000000001"/>
    <n v="20"/>
    <n v="56369.43"/>
    <n v="44142.559999999998"/>
    <n v="12226.87"/>
    <x v="0"/>
    <x v="6"/>
    <x v="2"/>
    <x v="9"/>
    <x v="0"/>
  </r>
  <r>
    <s v="ORD00656"/>
    <s v="2024-08-31"/>
    <s v="Rohit Verma"/>
    <x v="1"/>
    <s v="Kolkata"/>
    <x v="3"/>
    <s v="Laptops"/>
    <x v="18"/>
    <x v="3"/>
    <n v="2"/>
    <n v="33027.629999999997"/>
    <n v="20"/>
    <n v="66055.259999999995"/>
    <n v="48239.22"/>
    <n v="17816.04"/>
    <x v="3"/>
    <x v="39"/>
    <x v="0"/>
    <x v="11"/>
    <x v="0"/>
  </r>
  <r>
    <s v="ORD00657"/>
    <s v="2024-07-27"/>
    <s v="Anjali Gupta"/>
    <x v="1"/>
    <s v="Kolkata"/>
    <x v="2"/>
    <s v="Makeup"/>
    <x v="19"/>
    <x v="2"/>
    <n v="5"/>
    <n v="44953.24"/>
    <n v="30"/>
    <n v="224766.2"/>
    <n v="187199.54"/>
    <n v="37566.660000000003"/>
    <x v="2"/>
    <x v="19"/>
    <x v="0"/>
    <x v="5"/>
    <x v="0"/>
  </r>
  <r>
    <s v="ORD00658"/>
    <s v="2024-11-17"/>
    <s v="Rahul Sharma"/>
    <x v="3"/>
    <s v="Bengaluru"/>
    <x v="1"/>
    <s v="General"/>
    <x v="8"/>
    <x v="1"/>
    <n v="5"/>
    <n v="47047.23"/>
    <n v="20"/>
    <n v="235236.15"/>
    <n v="179809.96"/>
    <n v="55426.19"/>
    <x v="2"/>
    <x v="32"/>
    <x v="0"/>
    <x v="3"/>
    <x v="0"/>
  </r>
  <r>
    <s v="ORD00659"/>
    <s v="2024-09-28"/>
    <s v="Sneha Iyer"/>
    <x v="3"/>
    <s v="Bengaluru"/>
    <x v="3"/>
    <s v="Smartphones"/>
    <x v="20"/>
    <x v="13"/>
    <n v="3"/>
    <n v="34358.78"/>
    <n v="15"/>
    <n v="103076.34"/>
    <n v="81487.41"/>
    <n v="21588.93"/>
    <x v="5"/>
    <x v="7"/>
    <x v="0"/>
    <x v="0"/>
    <x v="0"/>
  </r>
  <r>
    <s v="ORD00660"/>
    <s v="2024-11-24"/>
    <s v="Sneha Iyer"/>
    <x v="6"/>
    <s v="Lucknow"/>
    <x v="2"/>
    <s v="Makeup"/>
    <x v="11"/>
    <x v="11"/>
    <n v="5"/>
    <n v="12779.59"/>
    <n v="25"/>
    <n v="63897.95"/>
    <n v="51540.43"/>
    <n v="12357.52"/>
    <x v="4"/>
    <x v="18"/>
    <x v="0"/>
    <x v="3"/>
    <x v="0"/>
  </r>
  <r>
    <s v="ORD00661"/>
    <s v="2024-07-11"/>
    <s v="Sneha Iyer"/>
    <x v="1"/>
    <s v="Kolkata"/>
    <x v="0"/>
    <s v="Educational"/>
    <x v="14"/>
    <x v="0"/>
    <n v="5"/>
    <n v="30878.47"/>
    <n v="10"/>
    <n v="154392.35"/>
    <n v="129788.05"/>
    <n v="24604.3"/>
    <x v="1"/>
    <x v="15"/>
    <x v="0"/>
    <x v="5"/>
    <x v="0"/>
  </r>
  <r>
    <s v="ORD00662"/>
    <s v="2024-03-01"/>
    <s v="Karan Shah"/>
    <x v="4"/>
    <s v="Nagpur"/>
    <x v="2"/>
    <s v="Makeup"/>
    <x v="2"/>
    <x v="2"/>
    <n v="1"/>
    <n v="24227.24"/>
    <n v="30"/>
    <n v="24227.24"/>
    <n v="20054.16"/>
    <n v="4173.08"/>
    <x v="0"/>
    <x v="29"/>
    <x v="0"/>
    <x v="7"/>
    <x v="0"/>
  </r>
  <r>
    <s v="ORD00663"/>
    <s v="2024-06-17"/>
    <s v="Pooja Nair"/>
    <x v="5"/>
    <s v="Hyderabad"/>
    <x v="1"/>
    <s v="General"/>
    <x v="1"/>
    <x v="1"/>
    <n v="4"/>
    <n v="15282.31"/>
    <n v="10"/>
    <n v="61129.24"/>
    <n v="45459.42"/>
    <n v="15669.82"/>
    <x v="5"/>
    <x v="37"/>
    <x v="0"/>
    <x v="10"/>
    <x v="0"/>
  </r>
  <r>
    <s v="ORD00664"/>
    <s v="2024-06-03"/>
    <s v="Rahul Sharma"/>
    <x v="5"/>
    <s v="Hyderabad"/>
    <x v="2"/>
    <s v="Makeup"/>
    <x v="11"/>
    <x v="2"/>
    <n v="1"/>
    <n v="46933.96"/>
    <n v="25"/>
    <n v="46933.96"/>
    <n v="35768.44"/>
    <n v="11165.52"/>
    <x v="0"/>
    <x v="15"/>
    <x v="0"/>
    <x v="10"/>
    <x v="0"/>
  </r>
  <r>
    <s v="ORD00665"/>
    <s v="2025-01-02"/>
    <s v="Neha Singh"/>
    <x v="7"/>
    <s v="Coimbatore"/>
    <x v="2"/>
    <s v="Skincare"/>
    <x v="10"/>
    <x v="6"/>
    <n v="1"/>
    <n v="14622.12"/>
    <n v="5"/>
    <n v="14622.12"/>
    <n v="11377.13"/>
    <n v="3244.99"/>
    <x v="4"/>
    <x v="35"/>
    <x v="0"/>
    <x v="6"/>
    <x v="1"/>
  </r>
  <r>
    <s v="ORD00666"/>
    <s v="2024-11-13"/>
    <s v="Neha Singh"/>
    <x v="7"/>
    <s v="Coimbatore"/>
    <x v="0"/>
    <s v="Educational"/>
    <x v="14"/>
    <x v="0"/>
    <n v="4"/>
    <n v="34830.28"/>
    <n v="30"/>
    <n v="139321.12"/>
    <n v="112250.05"/>
    <n v="27071.07"/>
    <x v="4"/>
    <x v="36"/>
    <x v="0"/>
    <x v="3"/>
    <x v="0"/>
  </r>
  <r>
    <s v="ORD00667"/>
    <s v="2025-01-17"/>
    <s v="Priya Patel"/>
    <x v="3"/>
    <s v="Bengaluru"/>
    <x v="2"/>
    <s v="Skincare"/>
    <x v="10"/>
    <x v="6"/>
    <n v="5"/>
    <n v="43118.19"/>
    <n v="5"/>
    <n v="215590.95"/>
    <n v="144473.88"/>
    <n v="71117.070000000007"/>
    <x v="5"/>
    <x v="9"/>
    <x v="0"/>
    <x v="6"/>
    <x v="1"/>
  </r>
  <r>
    <s v="ORD00668"/>
    <s v="2024-05-04"/>
    <s v="Anjali Gupta"/>
    <x v="5"/>
    <s v="Hyderabad"/>
    <x v="0"/>
    <s v="Educational"/>
    <x v="14"/>
    <x v="0"/>
    <n v="3"/>
    <n v="29885.360000000001"/>
    <n v="20"/>
    <n v="89656.08"/>
    <n v="61576.88"/>
    <n v="28079.200000000001"/>
    <x v="0"/>
    <x v="27"/>
    <x v="0"/>
    <x v="2"/>
    <x v="0"/>
  </r>
  <r>
    <s v="ORD00669"/>
    <s v="2024-06-28"/>
    <s v="Pooja Nair"/>
    <x v="4"/>
    <s v="Pune"/>
    <x v="0"/>
    <s v="Fiction"/>
    <x v="0"/>
    <x v="0"/>
    <n v="5"/>
    <n v="7728.33"/>
    <n v="15"/>
    <n v="38641.65"/>
    <n v="30837.43"/>
    <n v="7804.22"/>
    <x v="3"/>
    <x v="1"/>
    <x v="0"/>
    <x v="10"/>
    <x v="0"/>
  </r>
  <r>
    <s v="ORD00670"/>
    <s v="2025-01-22"/>
    <s v="Rahul Sharma"/>
    <x v="5"/>
    <s v="Hyderabad"/>
    <x v="4"/>
    <s v="Storage"/>
    <x v="4"/>
    <x v="4"/>
    <n v="5"/>
    <n v="36096.74"/>
    <n v="10"/>
    <n v="180483.7"/>
    <n v="129726.28"/>
    <n v="50757.42"/>
    <x v="5"/>
    <x v="31"/>
    <x v="0"/>
    <x v="6"/>
    <x v="1"/>
  </r>
  <r>
    <s v="ORD00671"/>
    <s v="2024-04-17"/>
    <s v="Rohit Verma"/>
    <x v="6"/>
    <s v="Noida"/>
    <x v="1"/>
    <s v="General"/>
    <x v="15"/>
    <x v="1"/>
    <n v="4"/>
    <n v="19275.66"/>
    <n v="15"/>
    <n v="77102.64"/>
    <n v="52631.03"/>
    <n v="24471.61"/>
    <x v="5"/>
    <x v="31"/>
    <x v="0"/>
    <x v="9"/>
    <x v="0"/>
  </r>
  <r>
    <s v="ORD00672"/>
    <s v="2024-09-23"/>
    <s v="Sneha Iyer"/>
    <x v="6"/>
    <s v="Noida"/>
    <x v="4"/>
    <s v="Cookware"/>
    <x v="23"/>
    <x v="4"/>
    <n v="4"/>
    <n v="15387.59"/>
    <n v="10"/>
    <n v="61550.36"/>
    <n v="49312.3"/>
    <n v="12238.06"/>
    <x v="2"/>
    <x v="34"/>
    <x v="0"/>
    <x v="0"/>
    <x v="0"/>
  </r>
  <r>
    <s v="ORD00673"/>
    <s v="2024-03-02"/>
    <s v="Priya Patel"/>
    <x v="5"/>
    <s v="Hyderabad"/>
    <x v="3"/>
    <s v="Laptops"/>
    <x v="12"/>
    <x v="3"/>
    <n v="1"/>
    <n v="23806.639999999999"/>
    <n v="30"/>
    <n v="23806.639999999999"/>
    <n v="15759.75"/>
    <n v="8046.89"/>
    <x v="0"/>
    <x v="15"/>
    <x v="0"/>
    <x v="7"/>
    <x v="0"/>
  </r>
  <r>
    <s v="ORD00674"/>
    <s v="2024-07-02"/>
    <s v="Anjali Gupta"/>
    <x v="3"/>
    <s v="Mysuru"/>
    <x v="2"/>
    <s v="Makeup"/>
    <x v="17"/>
    <x v="6"/>
    <n v="1"/>
    <n v="28568.97"/>
    <n v="20"/>
    <n v="28568.97"/>
    <n v="21763.02"/>
    <n v="6805.95"/>
    <x v="0"/>
    <x v="34"/>
    <x v="1"/>
    <x v="5"/>
    <x v="0"/>
  </r>
  <r>
    <s v="ORD00675"/>
    <s v="2024-03-01"/>
    <s v="Anjali Gupta"/>
    <x v="6"/>
    <s v="Noida"/>
    <x v="3"/>
    <s v="Smartwatches"/>
    <x v="18"/>
    <x v="5"/>
    <n v="1"/>
    <n v="40753.519999999997"/>
    <n v="15"/>
    <n v="40753.519999999997"/>
    <n v="31262.82"/>
    <n v="9490.7000000000007"/>
    <x v="0"/>
    <x v="24"/>
    <x v="0"/>
    <x v="7"/>
    <x v="0"/>
  </r>
  <r>
    <s v="ORD00676"/>
    <s v="2024-03-16"/>
    <s v="Rahul Sharma"/>
    <x v="7"/>
    <s v="Coimbatore"/>
    <x v="3"/>
    <s v="Smartwatches"/>
    <x v="9"/>
    <x v="8"/>
    <n v="4"/>
    <n v="38571.81"/>
    <n v="30"/>
    <n v="154287.24"/>
    <n v="112731.09"/>
    <n v="41556.15"/>
    <x v="3"/>
    <x v="12"/>
    <x v="0"/>
    <x v="7"/>
    <x v="0"/>
  </r>
  <r>
    <s v="ORD00677"/>
    <s v="2024-05-04"/>
    <s v="Karan Shah"/>
    <x v="2"/>
    <s v="Ahmedabad"/>
    <x v="3"/>
    <s v="Laptops"/>
    <x v="12"/>
    <x v="13"/>
    <n v="5"/>
    <n v="25161.91"/>
    <n v="25"/>
    <n v="125809.55"/>
    <n v="89712.97"/>
    <n v="36096.58"/>
    <x v="2"/>
    <x v="20"/>
    <x v="0"/>
    <x v="2"/>
    <x v="0"/>
  </r>
  <r>
    <s v="ORD00678"/>
    <s v="2024-11-21"/>
    <s v="Priya Patel"/>
    <x v="5"/>
    <s v="Hyderabad"/>
    <x v="2"/>
    <s v="Skincare"/>
    <x v="10"/>
    <x v="6"/>
    <n v="3"/>
    <n v="12124.19"/>
    <n v="10"/>
    <n v="36372.57"/>
    <n v="24872.44"/>
    <n v="11500.13"/>
    <x v="0"/>
    <x v="25"/>
    <x v="2"/>
    <x v="3"/>
    <x v="0"/>
  </r>
  <r>
    <s v="ORD00679"/>
    <s v="2024-03-13"/>
    <s v="Priya Patel"/>
    <x v="1"/>
    <s v="Kolkata"/>
    <x v="0"/>
    <s v="Educational"/>
    <x v="0"/>
    <x v="7"/>
    <n v="3"/>
    <n v="2013.64"/>
    <n v="10"/>
    <n v="6040.92"/>
    <n v="4015.96"/>
    <n v="2024.96"/>
    <x v="1"/>
    <x v="28"/>
    <x v="0"/>
    <x v="7"/>
    <x v="0"/>
  </r>
  <r>
    <s v="ORD00680"/>
    <s v="2024-10-04"/>
    <s v="Rahul Sharma"/>
    <x v="6"/>
    <s v="Noida"/>
    <x v="4"/>
    <s v="Storage"/>
    <x v="16"/>
    <x v="10"/>
    <n v="3"/>
    <n v="6002.25"/>
    <n v="10"/>
    <n v="18006.75"/>
    <n v="14247.66"/>
    <n v="3759.09"/>
    <x v="3"/>
    <x v="0"/>
    <x v="0"/>
    <x v="4"/>
    <x v="0"/>
  </r>
  <r>
    <s v="ORD00681"/>
    <s v="2024-09-08"/>
    <s v="Pooja Nair"/>
    <x v="6"/>
    <s v="Lucknow"/>
    <x v="0"/>
    <s v="Fiction"/>
    <x v="22"/>
    <x v="0"/>
    <n v="4"/>
    <n v="31332.42"/>
    <n v="25"/>
    <n v="125329.68"/>
    <n v="82480.5"/>
    <n v="42849.18"/>
    <x v="4"/>
    <x v="23"/>
    <x v="0"/>
    <x v="0"/>
    <x v="0"/>
  </r>
  <r>
    <s v="ORD00682"/>
    <s v="2024-07-07"/>
    <s v="Amit Kumar"/>
    <x v="5"/>
    <s v="Hyderabad"/>
    <x v="4"/>
    <s v="Cookware"/>
    <x v="16"/>
    <x v="10"/>
    <n v="1"/>
    <n v="17539.189999999999"/>
    <n v="5"/>
    <n v="17539.189999999999"/>
    <n v="11564.6"/>
    <n v="5974.59"/>
    <x v="2"/>
    <x v="1"/>
    <x v="0"/>
    <x v="5"/>
    <x v="0"/>
  </r>
  <r>
    <s v="ORD00683"/>
    <s v="2024-08-23"/>
    <s v="Neha Singh"/>
    <x v="4"/>
    <s v="Pune"/>
    <x v="0"/>
    <s v="Educational"/>
    <x v="21"/>
    <x v="7"/>
    <n v="2"/>
    <n v="14865.47"/>
    <n v="25"/>
    <n v="29730.94"/>
    <n v="21805.46"/>
    <n v="7925.48"/>
    <x v="1"/>
    <x v="14"/>
    <x v="0"/>
    <x v="11"/>
    <x v="0"/>
  </r>
  <r>
    <s v="ORD00684"/>
    <s v="2024-11-23"/>
    <s v="Neha Singh"/>
    <x v="7"/>
    <s v="Chennai"/>
    <x v="1"/>
    <s v="General"/>
    <x v="24"/>
    <x v="1"/>
    <n v="5"/>
    <n v="48130.6"/>
    <n v="25"/>
    <n v="240653"/>
    <n v="161098.44"/>
    <n v="79554.559999999998"/>
    <x v="1"/>
    <x v="9"/>
    <x v="0"/>
    <x v="3"/>
    <x v="0"/>
  </r>
  <r>
    <s v="ORD00685"/>
    <s v="2024-06-21"/>
    <s v="Rohit Verma"/>
    <x v="1"/>
    <s v="Kolkata"/>
    <x v="0"/>
    <s v="Fiction"/>
    <x v="0"/>
    <x v="7"/>
    <n v="3"/>
    <n v="8970.27"/>
    <n v="30"/>
    <n v="26910.81"/>
    <n v="21561.26"/>
    <n v="5349.55"/>
    <x v="3"/>
    <x v="19"/>
    <x v="0"/>
    <x v="10"/>
    <x v="0"/>
  </r>
  <r>
    <s v="ORD00686"/>
    <s v="2024-06-22"/>
    <s v="Karan Shah"/>
    <x v="4"/>
    <s v="Pune"/>
    <x v="3"/>
    <s v="Laptops"/>
    <x v="20"/>
    <x v="13"/>
    <n v="2"/>
    <n v="14359.73"/>
    <n v="5"/>
    <n v="28719.46"/>
    <n v="23818.55"/>
    <n v="4900.91"/>
    <x v="1"/>
    <x v="2"/>
    <x v="0"/>
    <x v="10"/>
    <x v="0"/>
  </r>
  <r>
    <s v="ORD00687"/>
    <s v="2024-11-12"/>
    <s v="Priya Patel"/>
    <x v="7"/>
    <s v="Coimbatore"/>
    <x v="2"/>
    <s v="Makeup"/>
    <x v="10"/>
    <x v="11"/>
    <n v="4"/>
    <n v="17009.73"/>
    <n v="25"/>
    <n v="68038.92"/>
    <n v="52206.06"/>
    <n v="15832.86"/>
    <x v="0"/>
    <x v="13"/>
    <x v="0"/>
    <x v="3"/>
    <x v="0"/>
  </r>
  <r>
    <s v="ORD00688"/>
    <s v="2024-03-22"/>
    <s v="Anjali Gupta"/>
    <x v="1"/>
    <s v="Kolkata"/>
    <x v="1"/>
    <s v="General"/>
    <x v="15"/>
    <x v="1"/>
    <n v="2"/>
    <n v="10385.24"/>
    <n v="10"/>
    <n v="20770.48"/>
    <n v="15995.26"/>
    <n v="4775.22"/>
    <x v="1"/>
    <x v="25"/>
    <x v="0"/>
    <x v="7"/>
    <x v="0"/>
  </r>
  <r>
    <s v="ORD00689"/>
    <s v="2025-01-26"/>
    <s v="Sneha Iyer"/>
    <x v="7"/>
    <s v="Chennai"/>
    <x v="3"/>
    <s v="Headphones"/>
    <x v="9"/>
    <x v="3"/>
    <n v="2"/>
    <n v="28261.1"/>
    <n v="30"/>
    <n v="56522.2"/>
    <n v="40937"/>
    <n v="15585.2"/>
    <x v="2"/>
    <x v="17"/>
    <x v="0"/>
    <x v="6"/>
    <x v="1"/>
  </r>
  <r>
    <s v="ORD00690"/>
    <s v="2024-05-02"/>
    <s v="Amit Kumar"/>
    <x v="3"/>
    <s v="Mysuru"/>
    <x v="1"/>
    <s v="General"/>
    <x v="1"/>
    <x v="1"/>
    <n v="2"/>
    <n v="23320.94"/>
    <n v="15"/>
    <n v="46641.88"/>
    <n v="38174.199999999997"/>
    <n v="8467.68"/>
    <x v="2"/>
    <x v="3"/>
    <x v="0"/>
    <x v="2"/>
    <x v="0"/>
  </r>
  <r>
    <s v="ORD00691"/>
    <s v="2024-12-20"/>
    <s v="Rahul Sharma"/>
    <x v="5"/>
    <s v="Hyderabad"/>
    <x v="1"/>
    <s v="General"/>
    <x v="15"/>
    <x v="1"/>
    <n v="5"/>
    <n v="16038"/>
    <n v="25"/>
    <n v="80190"/>
    <n v="64860.36"/>
    <n v="15329.64"/>
    <x v="4"/>
    <x v="10"/>
    <x v="0"/>
    <x v="1"/>
    <x v="0"/>
  </r>
  <r>
    <s v="ORD00692"/>
    <s v="2024-11-12"/>
    <s v="Rohit Verma"/>
    <x v="5"/>
    <s v="Hyderabad"/>
    <x v="1"/>
    <s v="General"/>
    <x v="6"/>
    <x v="1"/>
    <n v="5"/>
    <n v="43719.71"/>
    <n v="10"/>
    <n v="218598.55"/>
    <n v="172670.85"/>
    <n v="45927.7"/>
    <x v="1"/>
    <x v="20"/>
    <x v="0"/>
    <x v="3"/>
    <x v="0"/>
  </r>
  <r>
    <s v="ORD00693"/>
    <s v="2024-05-17"/>
    <s v="Priya Patel"/>
    <x v="5"/>
    <s v="Hyderabad"/>
    <x v="0"/>
    <s v="Fiction"/>
    <x v="14"/>
    <x v="7"/>
    <n v="2"/>
    <n v="19669.48"/>
    <n v="15"/>
    <n v="39338.959999999999"/>
    <n v="28730.54"/>
    <n v="10608.42"/>
    <x v="2"/>
    <x v="6"/>
    <x v="0"/>
    <x v="2"/>
    <x v="0"/>
  </r>
  <r>
    <s v="ORD00694"/>
    <s v="2024-03-20"/>
    <s v="Karan Shah"/>
    <x v="7"/>
    <s v="Coimbatore"/>
    <x v="2"/>
    <s v="Skincare"/>
    <x v="11"/>
    <x v="11"/>
    <n v="1"/>
    <n v="27396.01"/>
    <n v="10"/>
    <n v="27396.01"/>
    <n v="22185.71"/>
    <n v="5210.3"/>
    <x v="3"/>
    <x v="35"/>
    <x v="0"/>
    <x v="7"/>
    <x v="0"/>
  </r>
  <r>
    <s v="ORD00695"/>
    <s v="2024-05-22"/>
    <s v="Pooja Nair"/>
    <x v="0"/>
    <s v="New Delhi"/>
    <x v="1"/>
    <s v="General"/>
    <x v="8"/>
    <x v="1"/>
    <n v="5"/>
    <n v="13763.17"/>
    <n v="30"/>
    <n v="68815.850000000006"/>
    <n v="49742.6"/>
    <n v="19073.25"/>
    <x v="2"/>
    <x v="22"/>
    <x v="2"/>
    <x v="2"/>
    <x v="0"/>
  </r>
  <r>
    <s v="ORD00696"/>
    <s v="2024-03-05"/>
    <s v="Priya Patel"/>
    <x v="1"/>
    <s v="Kolkata"/>
    <x v="4"/>
    <s v="Storage"/>
    <x v="4"/>
    <x v="4"/>
    <n v="2"/>
    <n v="6421.63"/>
    <n v="20"/>
    <n v="12843.26"/>
    <n v="8868.65"/>
    <n v="3974.61"/>
    <x v="5"/>
    <x v="39"/>
    <x v="2"/>
    <x v="7"/>
    <x v="0"/>
  </r>
  <r>
    <s v="ORD00697"/>
    <s v="2024-03-19"/>
    <s v="Arjun Mehta"/>
    <x v="7"/>
    <s v="Chennai"/>
    <x v="0"/>
    <s v="Educational"/>
    <x v="22"/>
    <x v="7"/>
    <n v="4"/>
    <n v="4617.2"/>
    <n v="20"/>
    <n v="18468.8"/>
    <n v="14166.36"/>
    <n v="4302.4399999999996"/>
    <x v="1"/>
    <x v="28"/>
    <x v="0"/>
    <x v="7"/>
    <x v="0"/>
  </r>
  <r>
    <s v="ORD00698"/>
    <s v="2024-08-09"/>
    <s v="Sneha Iyer"/>
    <x v="4"/>
    <s v="Mumbai"/>
    <x v="1"/>
    <s v="General"/>
    <x v="15"/>
    <x v="1"/>
    <n v="5"/>
    <n v="6022.31"/>
    <n v="25"/>
    <n v="30111.55"/>
    <n v="20853.740000000002"/>
    <n v="9257.81"/>
    <x v="4"/>
    <x v="0"/>
    <x v="2"/>
    <x v="11"/>
    <x v="0"/>
  </r>
  <r>
    <s v="ORD00699"/>
    <s v="2024-11-04"/>
    <s v="Amit Kumar"/>
    <x v="0"/>
    <s v="New Delhi"/>
    <x v="2"/>
    <s v="Skincare"/>
    <x v="2"/>
    <x v="6"/>
    <n v="4"/>
    <n v="38968.519999999997"/>
    <n v="20"/>
    <n v="155874.07999999999"/>
    <n v="101824.09"/>
    <n v="54049.99"/>
    <x v="5"/>
    <x v="1"/>
    <x v="0"/>
    <x v="3"/>
    <x v="0"/>
  </r>
  <r>
    <s v="ORD00700"/>
    <s v="2024-10-17"/>
    <s v="Sneha Iyer"/>
    <x v="4"/>
    <s v="Mumbai"/>
    <x v="3"/>
    <s v="Laptops"/>
    <x v="18"/>
    <x v="12"/>
    <n v="5"/>
    <n v="20435.34"/>
    <n v="5"/>
    <n v="102176.7"/>
    <n v="72368.539999999994"/>
    <n v="29808.16"/>
    <x v="4"/>
    <x v="28"/>
    <x v="0"/>
    <x v="4"/>
    <x v="0"/>
  </r>
  <r>
    <s v="ORD00701"/>
    <s v="2024-08-18"/>
    <s v="Amit Kumar"/>
    <x v="0"/>
    <s v="New Delhi"/>
    <x v="3"/>
    <s v="Smartwatches"/>
    <x v="9"/>
    <x v="5"/>
    <n v="2"/>
    <n v="25115.71"/>
    <n v="5"/>
    <n v="50231.42"/>
    <n v="41375.919999999998"/>
    <n v="8855.5"/>
    <x v="2"/>
    <x v="15"/>
    <x v="0"/>
    <x v="11"/>
    <x v="0"/>
  </r>
  <r>
    <s v="ORD00702"/>
    <s v="2024-04-13"/>
    <s v="Amit Kumar"/>
    <x v="1"/>
    <s v="Kolkata"/>
    <x v="3"/>
    <s v="Laptops"/>
    <x v="20"/>
    <x v="5"/>
    <n v="1"/>
    <n v="36115.480000000003"/>
    <n v="15"/>
    <n v="36115.480000000003"/>
    <n v="24094.91"/>
    <n v="12020.57"/>
    <x v="1"/>
    <x v="32"/>
    <x v="0"/>
    <x v="9"/>
    <x v="0"/>
  </r>
  <r>
    <s v="ORD00703"/>
    <s v="2024-09-08"/>
    <s v="Priya Patel"/>
    <x v="5"/>
    <s v="Hyderabad"/>
    <x v="4"/>
    <s v="Storage"/>
    <x v="7"/>
    <x v="4"/>
    <n v="2"/>
    <n v="13372.74"/>
    <n v="30"/>
    <n v="26745.48"/>
    <n v="21363.759999999998"/>
    <n v="5381.72"/>
    <x v="2"/>
    <x v="5"/>
    <x v="0"/>
    <x v="0"/>
    <x v="0"/>
  </r>
  <r>
    <s v="ORD00704"/>
    <s v="2024-03-27"/>
    <s v="Neha Singh"/>
    <x v="5"/>
    <s v="Hyderabad"/>
    <x v="0"/>
    <s v="Educational"/>
    <x v="0"/>
    <x v="0"/>
    <n v="1"/>
    <n v="32472.59"/>
    <n v="10"/>
    <n v="32472.59"/>
    <n v="25398.5"/>
    <n v="7074.09"/>
    <x v="2"/>
    <x v="34"/>
    <x v="0"/>
    <x v="7"/>
    <x v="0"/>
  </r>
  <r>
    <s v="ORD00705"/>
    <s v="2024-05-21"/>
    <s v="Karan Shah"/>
    <x v="4"/>
    <s v="Nagpur"/>
    <x v="0"/>
    <s v="Educational"/>
    <x v="21"/>
    <x v="0"/>
    <n v="5"/>
    <n v="12097.46"/>
    <n v="20"/>
    <n v="60487.3"/>
    <n v="51115.55"/>
    <n v="9371.75"/>
    <x v="3"/>
    <x v="24"/>
    <x v="0"/>
    <x v="2"/>
    <x v="0"/>
  </r>
  <r>
    <s v="ORD00706"/>
    <s v="2024-02-27"/>
    <s v="Priya Patel"/>
    <x v="6"/>
    <s v="Noida"/>
    <x v="0"/>
    <s v="Fiction"/>
    <x v="14"/>
    <x v="0"/>
    <n v="3"/>
    <n v="34446.42"/>
    <n v="5"/>
    <n v="103339.26"/>
    <n v="75089.86"/>
    <n v="28249.4"/>
    <x v="1"/>
    <x v="7"/>
    <x v="0"/>
    <x v="8"/>
    <x v="0"/>
  </r>
  <r>
    <s v="ORD00707"/>
    <s v="2024-12-26"/>
    <s v="Arjun Mehta"/>
    <x v="7"/>
    <s v="Coimbatore"/>
    <x v="0"/>
    <s v="Educational"/>
    <x v="0"/>
    <x v="0"/>
    <n v="4"/>
    <n v="13420.4"/>
    <n v="20"/>
    <n v="53681.599999999999"/>
    <n v="39795.019999999997"/>
    <n v="13886.58"/>
    <x v="3"/>
    <x v="25"/>
    <x v="0"/>
    <x v="1"/>
    <x v="0"/>
  </r>
  <r>
    <s v="ORD00708"/>
    <s v="2024-12-26"/>
    <s v="Neha Singh"/>
    <x v="4"/>
    <s v="Nagpur"/>
    <x v="0"/>
    <s v="Educational"/>
    <x v="13"/>
    <x v="7"/>
    <n v="3"/>
    <n v="20686.939999999999"/>
    <n v="15"/>
    <n v="62060.82"/>
    <n v="50302.58"/>
    <n v="11758.24"/>
    <x v="2"/>
    <x v="27"/>
    <x v="0"/>
    <x v="1"/>
    <x v="0"/>
  </r>
  <r>
    <s v="ORD00709"/>
    <s v="2024-07-30"/>
    <s v="Rohit Verma"/>
    <x v="5"/>
    <s v="Hyderabad"/>
    <x v="3"/>
    <s v="Laptops"/>
    <x v="20"/>
    <x v="13"/>
    <n v="2"/>
    <n v="29418.33"/>
    <n v="20"/>
    <n v="58836.66"/>
    <n v="49900.18"/>
    <n v="8936.48"/>
    <x v="3"/>
    <x v="26"/>
    <x v="0"/>
    <x v="5"/>
    <x v="0"/>
  </r>
  <r>
    <s v="ORD00710"/>
    <s v="2024-05-14"/>
    <s v="Amit Kumar"/>
    <x v="0"/>
    <s v="New Delhi"/>
    <x v="0"/>
    <s v="Fiction"/>
    <x v="22"/>
    <x v="7"/>
    <n v="1"/>
    <n v="6115.91"/>
    <n v="25"/>
    <n v="6115.91"/>
    <n v="4321.8599999999997"/>
    <n v="1794.05"/>
    <x v="1"/>
    <x v="39"/>
    <x v="0"/>
    <x v="2"/>
    <x v="0"/>
  </r>
  <r>
    <s v="ORD00711"/>
    <s v="2024-08-21"/>
    <s v="Karan Shah"/>
    <x v="4"/>
    <s v="Pune"/>
    <x v="0"/>
    <s v="Educational"/>
    <x v="22"/>
    <x v="7"/>
    <n v="3"/>
    <n v="33404.120000000003"/>
    <n v="5"/>
    <n v="100212.36"/>
    <n v="84495.74"/>
    <n v="15716.62"/>
    <x v="0"/>
    <x v="29"/>
    <x v="1"/>
    <x v="11"/>
    <x v="0"/>
  </r>
  <r>
    <s v="ORD00712"/>
    <s v="2024-05-07"/>
    <s v="Anjali Gupta"/>
    <x v="6"/>
    <s v="Noida"/>
    <x v="1"/>
    <s v="General"/>
    <x v="1"/>
    <x v="1"/>
    <n v="2"/>
    <n v="40046.19"/>
    <n v="30"/>
    <n v="80092.38"/>
    <n v="67849.75"/>
    <n v="12242.63"/>
    <x v="1"/>
    <x v="12"/>
    <x v="0"/>
    <x v="2"/>
    <x v="0"/>
  </r>
  <r>
    <s v="ORD00713"/>
    <s v="2024-10-24"/>
    <s v="Rahul Sharma"/>
    <x v="1"/>
    <s v="Kolkata"/>
    <x v="0"/>
    <s v="Fiction"/>
    <x v="22"/>
    <x v="7"/>
    <n v="2"/>
    <n v="22709.95"/>
    <n v="20"/>
    <n v="45419.9"/>
    <n v="34238.019999999997"/>
    <n v="11181.88"/>
    <x v="4"/>
    <x v="9"/>
    <x v="0"/>
    <x v="4"/>
    <x v="0"/>
  </r>
  <r>
    <s v="ORD00714"/>
    <s v="2024-09-08"/>
    <s v="Karan Shah"/>
    <x v="4"/>
    <s v="Pune"/>
    <x v="0"/>
    <s v="Fiction"/>
    <x v="21"/>
    <x v="7"/>
    <n v="1"/>
    <n v="22315.58"/>
    <n v="25"/>
    <n v="22315.58"/>
    <n v="18015.169999999998"/>
    <n v="4300.41"/>
    <x v="1"/>
    <x v="8"/>
    <x v="0"/>
    <x v="0"/>
    <x v="0"/>
  </r>
  <r>
    <s v="ORD00715"/>
    <s v="2024-02-25"/>
    <s v="Amit Kumar"/>
    <x v="7"/>
    <s v="Coimbatore"/>
    <x v="1"/>
    <s v="General"/>
    <x v="1"/>
    <x v="1"/>
    <n v="1"/>
    <n v="47608.93"/>
    <n v="25"/>
    <n v="47608.93"/>
    <n v="35964.61"/>
    <n v="11644.32"/>
    <x v="1"/>
    <x v="24"/>
    <x v="0"/>
    <x v="8"/>
    <x v="0"/>
  </r>
  <r>
    <s v="ORD00716"/>
    <s v="2024-08-09"/>
    <s v="Pooja Nair"/>
    <x v="4"/>
    <s v="Nagpur"/>
    <x v="1"/>
    <s v="General"/>
    <x v="8"/>
    <x v="1"/>
    <n v="1"/>
    <n v="19846.64"/>
    <n v="15"/>
    <n v="19846.64"/>
    <n v="13512.11"/>
    <n v="6334.53"/>
    <x v="5"/>
    <x v="26"/>
    <x v="0"/>
    <x v="11"/>
    <x v="0"/>
  </r>
  <r>
    <s v="ORD00717"/>
    <s v="2024-09-01"/>
    <s v="Rahul Sharma"/>
    <x v="3"/>
    <s v="Mysuru"/>
    <x v="0"/>
    <s v="Fiction"/>
    <x v="21"/>
    <x v="7"/>
    <n v="3"/>
    <n v="5975.89"/>
    <n v="25"/>
    <n v="17927.669999999998"/>
    <n v="14148.32"/>
    <n v="3779.35"/>
    <x v="1"/>
    <x v="38"/>
    <x v="0"/>
    <x v="0"/>
    <x v="0"/>
  </r>
  <r>
    <s v="ORD00718"/>
    <s v="2024-09-26"/>
    <s v="Karan Shah"/>
    <x v="5"/>
    <s v="Hyderabad"/>
    <x v="0"/>
    <s v="Fiction"/>
    <x v="21"/>
    <x v="7"/>
    <n v="4"/>
    <n v="49409.89"/>
    <n v="25"/>
    <n v="197639.56"/>
    <n v="158176.78"/>
    <n v="39462.78"/>
    <x v="5"/>
    <x v="27"/>
    <x v="0"/>
    <x v="0"/>
    <x v="0"/>
  </r>
  <r>
    <s v="ORD00719"/>
    <s v="2024-10-12"/>
    <s v="Arjun Mehta"/>
    <x v="0"/>
    <s v="New Delhi"/>
    <x v="1"/>
    <s v="General"/>
    <x v="24"/>
    <x v="1"/>
    <n v="5"/>
    <n v="13885.05"/>
    <n v="15"/>
    <n v="69425.25"/>
    <n v="50264.959999999999"/>
    <n v="19160.29"/>
    <x v="4"/>
    <x v="0"/>
    <x v="0"/>
    <x v="4"/>
    <x v="0"/>
  </r>
  <r>
    <s v="ORD00720"/>
    <s v="2024-04-08"/>
    <s v="Pooja Nair"/>
    <x v="4"/>
    <s v="Mumbai"/>
    <x v="2"/>
    <s v="Skincare"/>
    <x v="19"/>
    <x v="2"/>
    <n v="3"/>
    <n v="4080.78"/>
    <n v="10"/>
    <n v="12242.34"/>
    <n v="9321.5400000000009"/>
    <n v="2920.8"/>
    <x v="4"/>
    <x v="35"/>
    <x v="0"/>
    <x v="9"/>
    <x v="0"/>
  </r>
  <r>
    <s v="ORD00721"/>
    <s v="2024-03-18"/>
    <s v="Neha Singh"/>
    <x v="5"/>
    <s v="Hyderabad"/>
    <x v="3"/>
    <s v="Smartwatches"/>
    <x v="20"/>
    <x v="14"/>
    <n v="3"/>
    <n v="27306.31"/>
    <n v="20"/>
    <n v="81918.929999999993"/>
    <n v="59746.97"/>
    <n v="22171.96"/>
    <x v="4"/>
    <x v="28"/>
    <x v="0"/>
    <x v="7"/>
    <x v="0"/>
  </r>
  <r>
    <s v="ORD00722"/>
    <s v="2024-12-02"/>
    <s v="Pooja Nair"/>
    <x v="4"/>
    <s v="Mumbai"/>
    <x v="4"/>
    <s v="Cookware"/>
    <x v="4"/>
    <x v="9"/>
    <n v="5"/>
    <n v="16580.240000000002"/>
    <n v="25"/>
    <n v="82901.2"/>
    <n v="61836.47"/>
    <n v="21064.73"/>
    <x v="5"/>
    <x v="33"/>
    <x v="0"/>
    <x v="1"/>
    <x v="0"/>
  </r>
  <r>
    <s v="ORD00723"/>
    <s v="2024-11-06"/>
    <s v="Priya Patel"/>
    <x v="4"/>
    <s v="Pune"/>
    <x v="0"/>
    <s v="Fiction"/>
    <x v="13"/>
    <x v="7"/>
    <n v="4"/>
    <n v="12798.83"/>
    <n v="10"/>
    <n v="51195.32"/>
    <n v="34126.129999999997"/>
    <n v="17069.189999999999"/>
    <x v="1"/>
    <x v="40"/>
    <x v="0"/>
    <x v="3"/>
    <x v="0"/>
  </r>
  <r>
    <s v="ORD00724"/>
    <s v="2024-10-14"/>
    <s v="Anjali Gupta"/>
    <x v="3"/>
    <s v="Mysuru"/>
    <x v="0"/>
    <s v="Educational"/>
    <x v="0"/>
    <x v="7"/>
    <n v="1"/>
    <n v="18574.12"/>
    <n v="25"/>
    <n v="18574.12"/>
    <n v="13287.87"/>
    <n v="5286.25"/>
    <x v="2"/>
    <x v="26"/>
    <x v="0"/>
    <x v="4"/>
    <x v="0"/>
  </r>
  <r>
    <s v="ORD00725"/>
    <s v="2024-02-14"/>
    <s v="Sneha Iyer"/>
    <x v="6"/>
    <s v="Lucknow"/>
    <x v="4"/>
    <s v="Cookware"/>
    <x v="4"/>
    <x v="4"/>
    <n v="4"/>
    <n v="30836.98"/>
    <n v="5"/>
    <n v="123347.92"/>
    <n v="87418.61"/>
    <n v="35929.31"/>
    <x v="2"/>
    <x v="19"/>
    <x v="0"/>
    <x v="8"/>
    <x v="0"/>
  </r>
  <r>
    <s v="ORD00726"/>
    <s v="2024-07-21"/>
    <s v="Priya Patel"/>
    <x v="5"/>
    <s v="Hyderabad"/>
    <x v="1"/>
    <s v="General"/>
    <x v="6"/>
    <x v="1"/>
    <n v="4"/>
    <n v="48620.13"/>
    <n v="25"/>
    <n v="194480.52"/>
    <n v="150321.99"/>
    <n v="44158.53"/>
    <x v="0"/>
    <x v="30"/>
    <x v="0"/>
    <x v="5"/>
    <x v="0"/>
  </r>
  <r>
    <s v="ORD00727"/>
    <s v="2024-08-12"/>
    <s v="Arjun Mehta"/>
    <x v="1"/>
    <s v="Kolkata"/>
    <x v="0"/>
    <s v="Fiction"/>
    <x v="14"/>
    <x v="7"/>
    <n v="2"/>
    <n v="16390.439999999999"/>
    <n v="20"/>
    <n v="32780.879999999997"/>
    <n v="22624.13"/>
    <n v="10156.75"/>
    <x v="4"/>
    <x v="24"/>
    <x v="0"/>
    <x v="11"/>
    <x v="0"/>
  </r>
  <r>
    <s v="ORD00728"/>
    <s v="2024-12-10"/>
    <s v="Arjun Mehta"/>
    <x v="0"/>
    <s v="New Delhi"/>
    <x v="2"/>
    <s v="Makeup"/>
    <x v="2"/>
    <x v="11"/>
    <n v="3"/>
    <n v="18862.009999999998"/>
    <n v="10"/>
    <n v="56586.03"/>
    <n v="44029.03"/>
    <n v="12557"/>
    <x v="2"/>
    <x v="32"/>
    <x v="0"/>
    <x v="1"/>
    <x v="0"/>
  </r>
  <r>
    <s v="ORD00729"/>
    <s v="2024-08-04"/>
    <s v="Sneha Iyer"/>
    <x v="7"/>
    <s v="Coimbatore"/>
    <x v="3"/>
    <s v="Smartwatches"/>
    <x v="3"/>
    <x v="12"/>
    <n v="1"/>
    <n v="11448.28"/>
    <n v="5"/>
    <n v="11448.28"/>
    <n v="9655.61"/>
    <n v="1792.67"/>
    <x v="5"/>
    <x v="22"/>
    <x v="2"/>
    <x v="11"/>
    <x v="0"/>
  </r>
  <r>
    <s v="ORD00730"/>
    <s v="2024-07-26"/>
    <s v="Priya Patel"/>
    <x v="5"/>
    <s v="Hyderabad"/>
    <x v="2"/>
    <s v="Skincare"/>
    <x v="17"/>
    <x v="6"/>
    <n v="2"/>
    <n v="24384.05"/>
    <n v="20"/>
    <n v="48768.1"/>
    <n v="38714.94"/>
    <n v="10053.16"/>
    <x v="0"/>
    <x v="32"/>
    <x v="0"/>
    <x v="5"/>
    <x v="0"/>
  </r>
  <r>
    <s v="ORD00731"/>
    <s v="2024-03-20"/>
    <s v="Amit Kumar"/>
    <x v="7"/>
    <s v="Chennai"/>
    <x v="2"/>
    <s v="Makeup"/>
    <x v="10"/>
    <x v="2"/>
    <n v="1"/>
    <n v="18179.43"/>
    <n v="20"/>
    <n v="18179.43"/>
    <n v="14286.46"/>
    <n v="3892.97"/>
    <x v="2"/>
    <x v="17"/>
    <x v="0"/>
    <x v="7"/>
    <x v="0"/>
  </r>
  <r>
    <s v="ORD00732"/>
    <s v="2024-09-19"/>
    <s v="Rohit Verma"/>
    <x v="5"/>
    <s v="Hyderabad"/>
    <x v="4"/>
    <s v="Storage"/>
    <x v="4"/>
    <x v="9"/>
    <n v="1"/>
    <n v="22430.51"/>
    <n v="30"/>
    <n v="22430.51"/>
    <n v="15069.52"/>
    <n v="7360.99"/>
    <x v="4"/>
    <x v="16"/>
    <x v="0"/>
    <x v="0"/>
    <x v="0"/>
  </r>
  <r>
    <s v="ORD00733"/>
    <s v="2025-01-15"/>
    <s v="Neha Singh"/>
    <x v="5"/>
    <s v="Hyderabad"/>
    <x v="4"/>
    <s v="Storage"/>
    <x v="23"/>
    <x v="9"/>
    <n v="2"/>
    <n v="10241.780000000001"/>
    <n v="15"/>
    <n v="20483.560000000001"/>
    <n v="15495.55"/>
    <n v="4988.01"/>
    <x v="2"/>
    <x v="13"/>
    <x v="0"/>
    <x v="6"/>
    <x v="1"/>
  </r>
  <r>
    <s v="ORD00734"/>
    <s v="2024-11-05"/>
    <s v="Anjali Gupta"/>
    <x v="2"/>
    <s v="Ahmedabad"/>
    <x v="1"/>
    <s v="General"/>
    <x v="24"/>
    <x v="1"/>
    <n v="3"/>
    <n v="17800.740000000002"/>
    <n v="5"/>
    <n v="53402.22"/>
    <n v="36346.080000000002"/>
    <n v="17056.14"/>
    <x v="2"/>
    <x v="36"/>
    <x v="0"/>
    <x v="3"/>
    <x v="0"/>
  </r>
  <r>
    <s v="ORD00735"/>
    <s v="2024-02-19"/>
    <s v="Anjali Gupta"/>
    <x v="1"/>
    <s v="Kolkata"/>
    <x v="0"/>
    <s v="Fiction"/>
    <x v="13"/>
    <x v="7"/>
    <n v="5"/>
    <n v="16174.96"/>
    <n v="5"/>
    <n v="80874.8"/>
    <n v="54560.76"/>
    <n v="26314.04"/>
    <x v="4"/>
    <x v="35"/>
    <x v="0"/>
    <x v="8"/>
    <x v="0"/>
  </r>
  <r>
    <s v="ORD00736"/>
    <s v="2024-06-08"/>
    <s v="Neha Singh"/>
    <x v="4"/>
    <s v="Pune"/>
    <x v="4"/>
    <s v="Cookware"/>
    <x v="4"/>
    <x v="9"/>
    <n v="5"/>
    <n v="2370.61"/>
    <n v="15"/>
    <n v="11853.05"/>
    <n v="8003.15"/>
    <n v="3849.9"/>
    <x v="0"/>
    <x v="4"/>
    <x v="0"/>
    <x v="10"/>
    <x v="0"/>
  </r>
  <r>
    <s v="ORD00737"/>
    <s v="2024-09-14"/>
    <s v="Pooja Nair"/>
    <x v="0"/>
    <s v="New Delhi"/>
    <x v="2"/>
    <s v="Skincare"/>
    <x v="17"/>
    <x v="11"/>
    <n v="3"/>
    <n v="139.85"/>
    <n v="15"/>
    <n v="419.55"/>
    <n v="288.86"/>
    <n v="130.69"/>
    <x v="1"/>
    <x v="6"/>
    <x v="0"/>
    <x v="0"/>
    <x v="0"/>
  </r>
  <r>
    <s v="ORD00738"/>
    <s v="2024-12-01"/>
    <s v="Sneha Iyer"/>
    <x v="5"/>
    <s v="Hyderabad"/>
    <x v="3"/>
    <s v="Laptops"/>
    <x v="3"/>
    <x v="14"/>
    <n v="1"/>
    <n v="2519.1799999999998"/>
    <n v="20"/>
    <n v="2519.1799999999998"/>
    <n v="1831.66"/>
    <n v="687.52"/>
    <x v="5"/>
    <x v="7"/>
    <x v="0"/>
    <x v="1"/>
    <x v="0"/>
  </r>
  <r>
    <s v="ORD00739"/>
    <s v="2024-10-21"/>
    <s v="Karan Shah"/>
    <x v="2"/>
    <s v="Surat"/>
    <x v="2"/>
    <s v="Skincare"/>
    <x v="17"/>
    <x v="11"/>
    <n v="4"/>
    <n v="32626.32"/>
    <n v="5"/>
    <n v="130505.28"/>
    <n v="90134.31"/>
    <n v="40370.97"/>
    <x v="1"/>
    <x v="36"/>
    <x v="0"/>
    <x v="4"/>
    <x v="0"/>
  </r>
  <r>
    <s v="ORD00740"/>
    <s v="2024-05-09"/>
    <s v="Amit Kumar"/>
    <x v="7"/>
    <s v="Chennai"/>
    <x v="3"/>
    <s v="Smartphones"/>
    <x v="12"/>
    <x v="13"/>
    <n v="3"/>
    <n v="14636.55"/>
    <n v="5"/>
    <n v="43909.65"/>
    <n v="30455.31"/>
    <n v="13454.34"/>
    <x v="4"/>
    <x v="22"/>
    <x v="0"/>
    <x v="2"/>
    <x v="0"/>
  </r>
  <r>
    <s v="ORD00741"/>
    <s v="2024-08-07"/>
    <s v="Amit Kumar"/>
    <x v="4"/>
    <s v="Mumbai"/>
    <x v="2"/>
    <s v="Skincare"/>
    <x v="2"/>
    <x v="2"/>
    <n v="5"/>
    <n v="19549.439999999999"/>
    <n v="5"/>
    <n v="97747.199999999997"/>
    <n v="71355.97"/>
    <n v="26391.23"/>
    <x v="2"/>
    <x v="5"/>
    <x v="0"/>
    <x v="11"/>
    <x v="0"/>
  </r>
  <r>
    <s v="ORD00742"/>
    <s v="2024-11-28"/>
    <s v="Sneha Iyer"/>
    <x v="5"/>
    <s v="Hyderabad"/>
    <x v="3"/>
    <s v="Smartphones"/>
    <x v="20"/>
    <x v="3"/>
    <n v="2"/>
    <n v="37195.730000000003"/>
    <n v="25"/>
    <n v="74391.460000000006"/>
    <n v="61868.92"/>
    <n v="12522.54"/>
    <x v="1"/>
    <x v="29"/>
    <x v="2"/>
    <x v="3"/>
    <x v="0"/>
  </r>
  <r>
    <s v="ORD00743"/>
    <s v="2024-10-20"/>
    <s v="Karan Shah"/>
    <x v="3"/>
    <s v="Bengaluru"/>
    <x v="4"/>
    <s v="Cookware"/>
    <x v="23"/>
    <x v="10"/>
    <n v="3"/>
    <n v="34821.93"/>
    <n v="10"/>
    <n v="104465.79"/>
    <n v="69083.14"/>
    <n v="35382.65"/>
    <x v="4"/>
    <x v="2"/>
    <x v="0"/>
    <x v="4"/>
    <x v="0"/>
  </r>
  <r>
    <s v="ORD00744"/>
    <s v="2025-01-18"/>
    <s v="Amit Kumar"/>
    <x v="4"/>
    <s v="Pune"/>
    <x v="2"/>
    <s v="Makeup"/>
    <x v="11"/>
    <x v="2"/>
    <n v="4"/>
    <n v="28630.92"/>
    <n v="20"/>
    <n v="114523.68"/>
    <n v="96602.63"/>
    <n v="17921.05"/>
    <x v="4"/>
    <x v="24"/>
    <x v="0"/>
    <x v="6"/>
    <x v="1"/>
  </r>
  <r>
    <s v="ORD00745"/>
    <s v="2024-03-07"/>
    <s v="Rohit Verma"/>
    <x v="4"/>
    <s v="Nagpur"/>
    <x v="1"/>
    <s v="General"/>
    <x v="15"/>
    <x v="1"/>
    <n v="5"/>
    <n v="25059.360000000001"/>
    <n v="30"/>
    <n v="125296.8"/>
    <n v="99354.08"/>
    <n v="25942.720000000001"/>
    <x v="1"/>
    <x v="7"/>
    <x v="0"/>
    <x v="7"/>
    <x v="0"/>
  </r>
  <r>
    <s v="ORD00746"/>
    <s v="2024-12-13"/>
    <s v="Pooja Nair"/>
    <x v="1"/>
    <s v="Kolkata"/>
    <x v="4"/>
    <s v="Storage"/>
    <x v="23"/>
    <x v="4"/>
    <n v="1"/>
    <n v="47795.34"/>
    <n v="5"/>
    <n v="47795.34"/>
    <n v="32981.35"/>
    <n v="14813.99"/>
    <x v="3"/>
    <x v="10"/>
    <x v="0"/>
    <x v="1"/>
    <x v="0"/>
  </r>
  <r>
    <s v="ORD00747"/>
    <s v="2024-02-28"/>
    <s v="Arjun Mehta"/>
    <x v="5"/>
    <s v="Hyderabad"/>
    <x v="1"/>
    <s v="General"/>
    <x v="6"/>
    <x v="1"/>
    <n v="4"/>
    <n v="36918.199999999997"/>
    <n v="15"/>
    <n v="147672.79999999999"/>
    <n v="102765.77"/>
    <n v="44907.03"/>
    <x v="2"/>
    <x v="3"/>
    <x v="0"/>
    <x v="8"/>
    <x v="0"/>
  </r>
  <r>
    <s v="ORD00748"/>
    <s v="2024-06-26"/>
    <s v="Rohit Verma"/>
    <x v="3"/>
    <s v="Bengaluru"/>
    <x v="2"/>
    <s v="Makeup"/>
    <x v="11"/>
    <x v="2"/>
    <n v="3"/>
    <n v="3394.38"/>
    <n v="30"/>
    <n v="10183.14"/>
    <n v="6999.88"/>
    <n v="3183.26"/>
    <x v="1"/>
    <x v="0"/>
    <x v="0"/>
    <x v="10"/>
    <x v="0"/>
  </r>
  <r>
    <s v="ORD00749"/>
    <s v="2024-08-07"/>
    <s v="Rohit Verma"/>
    <x v="7"/>
    <s v="Chennai"/>
    <x v="3"/>
    <s v="Smartphones"/>
    <x v="12"/>
    <x v="3"/>
    <n v="5"/>
    <n v="11142.38"/>
    <n v="10"/>
    <n v="55711.9"/>
    <n v="38385.24"/>
    <n v="17326.66"/>
    <x v="4"/>
    <x v="26"/>
    <x v="0"/>
    <x v="11"/>
    <x v="0"/>
  </r>
  <r>
    <s v="ORD00750"/>
    <s v="2024-10-25"/>
    <s v="Neha Singh"/>
    <x v="0"/>
    <s v="New Delhi"/>
    <x v="4"/>
    <s v="Storage"/>
    <x v="4"/>
    <x v="10"/>
    <n v="5"/>
    <n v="18602.849999999999"/>
    <n v="20"/>
    <n v="93014.25"/>
    <n v="68121.14"/>
    <n v="24893.11"/>
    <x v="1"/>
    <x v="17"/>
    <x v="0"/>
    <x v="4"/>
    <x v="0"/>
  </r>
  <r>
    <s v="ORD00751"/>
    <s v="2024-05-25"/>
    <s v="Rahul Sharma"/>
    <x v="6"/>
    <s v="Lucknow"/>
    <x v="1"/>
    <s v="General"/>
    <x v="8"/>
    <x v="1"/>
    <n v="5"/>
    <n v="13557.11"/>
    <n v="10"/>
    <n v="67785.55"/>
    <n v="50248.57"/>
    <n v="17536.98"/>
    <x v="5"/>
    <x v="11"/>
    <x v="2"/>
    <x v="2"/>
    <x v="0"/>
  </r>
  <r>
    <s v="ORD00752"/>
    <s v="2024-08-11"/>
    <s v="Neha Singh"/>
    <x v="3"/>
    <s v="Bengaluru"/>
    <x v="4"/>
    <s v="Cookware"/>
    <x v="5"/>
    <x v="9"/>
    <n v="1"/>
    <n v="13559.18"/>
    <n v="30"/>
    <n v="13559.18"/>
    <n v="11312.03"/>
    <n v="2247.15"/>
    <x v="0"/>
    <x v="34"/>
    <x v="0"/>
    <x v="11"/>
    <x v="0"/>
  </r>
  <r>
    <s v="ORD00753"/>
    <s v="2025-02-01"/>
    <s v="Sneha Iyer"/>
    <x v="4"/>
    <s v="Nagpur"/>
    <x v="3"/>
    <s v="Laptops"/>
    <x v="9"/>
    <x v="14"/>
    <n v="2"/>
    <n v="41926.03"/>
    <n v="25"/>
    <n v="83852.06"/>
    <n v="59348.9"/>
    <n v="24503.16"/>
    <x v="3"/>
    <x v="22"/>
    <x v="2"/>
    <x v="8"/>
    <x v="1"/>
  </r>
  <r>
    <s v="ORD00754"/>
    <s v="2024-12-30"/>
    <s v="Neha Singh"/>
    <x v="0"/>
    <s v="New Delhi"/>
    <x v="2"/>
    <s v="Skincare"/>
    <x v="11"/>
    <x v="6"/>
    <n v="4"/>
    <n v="12930.46"/>
    <n v="5"/>
    <n v="51721.84"/>
    <n v="38906.65"/>
    <n v="12815.19"/>
    <x v="5"/>
    <x v="30"/>
    <x v="0"/>
    <x v="1"/>
    <x v="0"/>
  </r>
  <r>
    <s v="ORD00755"/>
    <s v="2024-07-08"/>
    <s v="Rohit Verma"/>
    <x v="4"/>
    <s v="Pune"/>
    <x v="3"/>
    <s v="Smartphones"/>
    <x v="18"/>
    <x v="8"/>
    <n v="3"/>
    <n v="37355.589999999997"/>
    <n v="30"/>
    <n v="112066.77"/>
    <n v="94266.9"/>
    <n v="17799.87"/>
    <x v="2"/>
    <x v="5"/>
    <x v="0"/>
    <x v="5"/>
    <x v="0"/>
  </r>
  <r>
    <s v="ORD00756"/>
    <s v="2024-05-15"/>
    <s v="Karan Shah"/>
    <x v="7"/>
    <s v="Coimbatore"/>
    <x v="2"/>
    <s v="Makeup"/>
    <x v="11"/>
    <x v="6"/>
    <n v="5"/>
    <n v="18385.32"/>
    <n v="15"/>
    <n v="91926.6"/>
    <n v="66279.679999999993"/>
    <n v="25646.92"/>
    <x v="1"/>
    <x v="28"/>
    <x v="0"/>
    <x v="2"/>
    <x v="0"/>
  </r>
  <r>
    <s v="ORD00757"/>
    <s v="2024-08-27"/>
    <s v="Rohit Verma"/>
    <x v="0"/>
    <s v="New Delhi"/>
    <x v="0"/>
    <s v="Educational"/>
    <x v="14"/>
    <x v="7"/>
    <n v="4"/>
    <n v="5299.58"/>
    <n v="20"/>
    <n v="21198.32"/>
    <n v="16287.04"/>
    <n v="4911.28"/>
    <x v="0"/>
    <x v="18"/>
    <x v="0"/>
    <x v="11"/>
    <x v="0"/>
  </r>
  <r>
    <s v="ORD00758"/>
    <s v="2024-04-16"/>
    <s v="Arjun Mehta"/>
    <x v="2"/>
    <s v="Ahmedabad"/>
    <x v="0"/>
    <s v="Educational"/>
    <x v="0"/>
    <x v="0"/>
    <n v="4"/>
    <n v="7649.41"/>
    <n v="15"/>
    <n v="30597.64"/>
    <n v="24735.34"/>
    <n v="5862.3"/>
    <x v="1"/>
    <x v="14"/>
    <x v="0"/>
    <x v="9"/>
    <x v="0"/>
  </r>
  <r>
    <s v="ORD00759"/>
    <s v="2024-10-07"/>
    <s v="Rohit Verma"/>
    <x v="0"/>
    <s v="New Delhi"/>
    <x v="4"/>
    <s v="Cookware"/>
    <x v="5"/>
    <x v="4"/>
    <n v="4"/>
    <n v="36950.980000000003"/>
    <n v="15"/>
    <n v="147803.92000000001"/>
    <n v="100932.96"/>
    <n v="46870.96"/>
    <x v="0"/>
    <x v="32"/>
    <x v="0"/>
    <x v="4"/>
    <x v="0"/>
  </r>
  <r>
    <s v="ORD00760"/>
    <s v="2024-09-07"/>
    <s v="Anjali Gupta"/>
    <x v="0"/>
    <s v="New Delhi"/>
    <x v="0"/>
    <s v="Educational"/>
    <x v="13"/>
    <x v="0"/>
    <n v="1"/>
    <n v="2136.9899999999998"/>
    <n v="10"/>
    <n v="2136.9899999999998"/>
    <n v="1492.41"/>
    <n v="644.58000000000004"/>
    <x v="5"/>
    <x v="21"/>
    <x v="0"/>
    <x v="0"/>
    <x v="0"/>
  </r>
  <r>
    <s v="ORD00761"/>
    <s v="2024-04-13"/>
    <s v="Rahul Sharma"/>
    <x v="5"/>
    <s v="Hyderabad"/>
    <x v="4"/>
    <s v="Cookware"/>
    <x v="23"/>
    <x v="10"/>
    <n v="5"/>
    <n v="19693.93"/>
    <n v="15"/>
    <n v="98469.65"/>
    <n v="66474.789999999994"/>
    <n v="31994.86"/>
    <x v="2"/>
    <x v="30"/>
    <x v="0"/>
    <x v="9"/>
    <x v="0"/>
  </r>
  <r>
    <s v="ORD00762"/>
    <s v="2024-11-11"/>
    <s v="Pooja Nair"/>
    <x v="6"/>
    <s v="Noida"/>
    <x v="4"/>
    <s v="Cookware"/>
    <x v="23"/>
    <x v="10"/>
    <n v="2"/>
    <n v="16179.61"/>
    <n v="10"/>
    <n v="32359.22"/>
    <n v="26541.15"/>
    <n v="5818.07"/>
    <x v="0"/>
    <x v="29"/>
    <x v="0"/>
    <x v="3"/>
    <x v="0"/>
  </r>
  <r>
    <s v="ORD00763"/>
    <s v="2024-12-26"/>
    <s v="Arjun Mehta"/>
    <x v="3"/>
    <s v="Mysuru"/>
    <x v="0"/>
    <s v="Fiction"/>
    <x v="0"/>
    <x v="0"/>
    <n v="4"/>
    <n v="45910.23"/>
    <n v="20"/>
    <n v="183640.92"/>
    <n v="146513.65"/>
    <n v="37127.269999999997"/>
    <x v="5"/>
    <x v="14"/>
    <x v="2"/>
    <x v="1"/>
    <x v="0"/>
  </r>
  <r>
    <s v="ORD00764"/>
    <s v="2024-02-20"/>
    <s v="Arjun Mehta"/>
    <x v="7"/>
    <s v="Chennai"/>
    <x v="2"/>
    <s v="Skincare"/>
    <x v="11"/>
    <x v="6"/>
    <n v="2"/>
    <n v="6685.9"/>
    <n v="5"/>
    <n v="13371.8"/>
    <n v="10520.15"/>
    <n v="2851.65"/>
    <x v="0"/>
    <x v="6"/>
    <x v="0"/>
    <x v="8"/>
    <x v="0"/>
  </r>
  <r>
    <s v="ORD00765"/>
    <s v="2024-09-12"/>
    <s v="Arjun Mehta"/>
    <x v="0"/>
    <s v="New Delhi"/>
    <x v="0"/>
    <s v="Educational"/>
    <x v="22"/>
    <x v="0"/>
    <n v="3"/>
    <n v="2258.89"/>
    <n v="20"/>
    <n v="6776.67"/>
    <n v="4781.18"/>
    <n v="1995.49"/>
    <x v="2"/>
    <x v="6"/>
    <x v="0"/>
    <x v="0"/>
    <x v="0"/>
  </r>
  <r>
    <s v="ORD00766"/>
    <s v="2024-09-06"/>
    <s v="Neha Singh"/>
    <x v="6"/>
    <s v="Noida"/>
    <x v="0"/>
    <s v="Fiction"/>
    <x v="0"/>
    <x v="0"/>
    <n v="1"/>
    <n v="25282.52"/>
    <n v="20"/>
    <n v="25282.52"/>
    <n v="18983.68"/>
    <n v="6298.84"/>
    <x v="4"/>
    <x v="16"/>
    <x v="0"/>
    <x v="0"/>
    <x v="0"/>
  </r>
  <r>
    <s v="ORD00767"/>
    <s v="2024-11-06"/>
    <s v="Anjali Gupta"/>
    <x v="3"/>
    <s v="Mysuru"/>
    <x v="2"/>
    <s v="Makeup"/>
    <x v="19"/>
    <x v="6"/>
    <n v="5"/>
    <n v="11461.72"/>
    <n v="25"/>
    <n v="57308.6"/>
    <n v="43712.3"/>
    <n v="13596.3"/>
    <x v="0"/>
    <x v="32"/>
    <x v="2"/>
    <x v="3"/>
    <x v="0"/>
  </r>
  <r>
    <s v="ORD00768"/>
    <s v="2024-08-28"/>
    <s v="Pooja Nair"/>
    <x v="5"/>
    <s v="Hyderabad"/>
    <x v="2"/>
    <s v="Makeup"/>
    <x v="19"/>
    <x v="11"/>
    <n v="4"/>
    <n v="17915.599999999999"/>
    <n v="25"/>
    <n v="71662.399999999994"/>
    <n v="60912.65"/>
    <n v="10749.75"/>
    <x v="1"/>
    <x v="31"/>
    <x v="0"/>
    <x v="11"/>
    <x v="0"/>
  </r>
  <r>
    <s v="ORD00769"/>
    <s v="2024-05-06"/>
    <s v="Arjun Mehta"/>
    <x v="7"/>
    <s v="Coimbatore"/>
    <x v="2"/>
    <s v="Makeup"/>
    <x v="11"/>
    <x v="11"/>
    <n v="2"/>
    <n v="22703.03"/>
    <n v="25"/>
    <n v="45406.06"/>
    <n v="34697.67"/>
    <n v="10708.39"/>
    <x v="5"/>
    <x v="40"/>
    <x v="0"/>
    <x v="2"/>
    <x v="0"/>
  </r>
  <r>
    <s v="ORD00770"/>
    <s v="2024-03-24"/>
    <s v="Karan Shah"/>
    <x v="7"/>
    <s v="Coimbatore"/>
    <x v="3"/>
    <s v="Smartphones"/>
    <x v="20"/>
    <x v="5"/>
    <n v="2"/>
    <n v="42210.82"/>
    <n v="25"/>
    <n v="84421.64"/>
    <n v="58797.73"/>
    <n v="25623.91"/>
    <x v="2"/>
    <x v="18"/>
    <x v="0"/>
    <x v="7"/>
    <x v="0"/>
  </r>
  <r>
    <s v="ORD00771"/>
    <s v="2025-01-27"/>
    <s v="Pooja Nair"/>
    <x v="1"/>
    <s v="Kolkata"/>
    <x v="4"/>
    <s v="Cookware"/>
    <x v="23"/>
    <x v="4"/>
    <n v="3"/>
    <n v="7355.5"/>
    <n v="10"/>
    <n v="22066.5"/>
    <n v="16512.23"/>
    <n v="5554.27"/>
    <x v="5"/>
    <x v="6"/>
    <x v="0"/>
    <x v="6"/>
    <x v="1"/>
  </r>
  <r>
    <s v="ORD00772"/>
    <s v="2024-06-12"/>
    <s v="Sneha Iyer"/>
    <x v="1"/>
    <s v="Kolkata"/>
    <x v="4"/>
    <s v="Storage"/>
    <x v="7"/>
    <x v="10"/>
    <n v="1"/>
    <n v="13879"/>
    <n v="5"/>
    <n v="13879"/>
    <n v="11750.18"/>
    <n v="2128.8200000000002"/>
    <x v="3"/>
    <x v="15"/>
    <x v="0"/>
    <x v="10"/>
    <x v="0"/>
  </r>
  <r>
    <s v="ORD00773"/>
    <s v="2024-07-11"/>
    <s v="Anjali Gupta"/>
    <x v="4"/>
    <s v="Mumbai"/>
    <x v="4"/>
    <s v="Storage"/>
    <x v="23"/>
    <x v="9"/>
    <n v="5"/>
    <n v="42604.95"/>
    <n v="25"/>
    <n v="213024.75"/>
    <n v="147941.64000000001"/>
    <n v="65083.11"/>
    <x v="5"/>
    <x v="32"/>
    <x v="0"/>
    <x v="5"/>
    <x v="0"/>
  </r>
  <r>
    <s v="ORD00774"/>
    <s v="2024-06-20"/>
    <s v="Amit Kumar"/>
    <x v="4"/>
    <s v="Pune"/>
    <x v="3"/>
    <s v="Laptops"/>
    <x v="3"/>
    <x v="5"/>
    <n v="1"/>
    <n v="31265.89"/>
    <n v="20"/>
    <n v="31265.89"/>
    <n v="24008.61"/>
    <n v="7257.28"/>
    <x v="1"/>
    <x v="35"/>
    <x v="0"/>
    <x v="10"/>
    <x v="0"/>
  </r>
  <r>
    <s v="ORD00775"/>
    <s v="2024-09-01"/>
    <s v="Priya Patel"/>
    <x v="7"/>
    <s v="Coimbatore"/>
    <x v="1"/>
    <s v="General"/>
    <x v="24"/>
    <x v="1"/>
    <n v="5"/>
    <n v="20020.830000000002"/>
    <n v="20"/>
    <n v="100104.15"/>
    <n v="78168.17"/>
    <n v="21935.98"/>
    <x v="4"/>
    <x v="31"/>
    <x v="0"/>
    <x v="0"/>
    <x v="0"/>
  </r>
  <r>
    <s v="ORD00776"/>
    <s v="2024-05-21"/>
    <s v="Arjun Mehta"/>
    <x v="7"/>
    <s v="Chennai"/>
    <x v="0"/>
    <s v="Fiction"/>
    <x v="14"/>
    <x v="0"/>
    <n v="3"/>
    <n v="24680.19"/>
    <n v="20"/>
    <n v="74040.570000000007"/>
    <n v="58054.400000000001"/>
    <n v="15986.17"/>
    <x v="3"/>
    <x v="0"/>
    <x v="0"/>
    <x v="2"/>
    <x v="0"/>
  </r>
  <r>
    <s v="ORD00777"/>
    <s v="2024-04-14"/>
    <s v="Neha Singh"/>
    <x v="3"/>
    <s v="Mysuru"/>
    <x v="2"/>
    <s v="Makeup"/>
    <x v="11"/>
    <x v="11"/>
    <n v="4"/>
    <n v="22254.17"/>
    <n v="25"/>
    <n v="89016.68"/>
    <n v="60168.71"/>
    <n v="28847.97"/>
    <x v="0"/>
    <x v="28"/>
    <x v="0"/>
    <x v="9"/>
    <x v="0"/>
  </r>
  <r>
    <s v="ORD00778"/>
    <s v="2024-09-07"/>
    <s v="Rohit Verma"/>
    <x v="3"/>
    <s v="Bengaluru"/>
    <x v="0"/>
    <s v="Fiction"/>
    <x v="21"/>
    <x v="0"/>
    <n v="1"/>
    <n v="4226.03"/>
    <n v="30"/>
    <n v="4226.03"/>
    <n v="2824.2"/>
    <n v="1401.83"/>
    <x v="0"/>
    <x v="18"/>
    <x v="0"/>
    <x v="0"/>
    <x v="0"/>
  </r>
  <r>
    <s v="ORD00779"/>
    <s v="2024-05-24"/>
    <s v="Priya Patel"/>
    <x v="3"/>
    <s v="Mysuru"/>
    <x v="4"/>
    <s v="Cookware"/>
    <x v="16"/>
    <x v="4"/>
    <n v="3"/>
    <n v="46315.8"/>
    <n v="5"/>
    <n v="138947.4"/>
    <n v="102680.53"/>
    <n v="36266.870000000003"/>
    <x v="2"/>
    <x v="7"/>
    <x v="0"/>
    <x v="2"/>
    <x v="0"/>
  </r>
  <r>
    <s v="ORD00780"/>
    <s v="2025-01-08"/>
    <s v="Neha Singh"/>
    <x v="5"/>
    <s v="Hyderabad"/>
    <x v="3"/>
    <s v="Headphones"/>
    <x v="3"/>
    <x v="12"/>
    <n v="3"/>
    <n v="1320.32"/>
    <n v="15"/>
    <n v="3960.96"/>
    <n v="2875.71"/>
    <n v="1085.25"/>
    <x v="2"/>
    <x v="6"/>
    <x v="0"/>
    <x v="6"/>
    <x v="1"/>
  </r>
  <r>
    <s v="ORD00781"/>
    <s v="2024-11-04"/>
    <s v="Sneha Iyer"/>
    <x v="1"/>
    <s v="Kolkata"/>
    <x v="0"/>
    <s v="Fiction"/>
    <x v="14"/>
    <x v="0"/>
    <n v="4"/>
    <n v="9772.82"/>
    <n v="30"/>
    <n v="39091.279999999999"/>
    <n v="28966.959999999999"/>
    <n v="10124.32"/>
    <x v="1"/>
    <x v="4"/>
    <x v="0"/>
    <x v="3"/>
    <x v="0"/>
  </r>
  <r>
    <s v="ORD00782"/>
    <s v="2024-02-12"/>
    <s v="Rohit Verma"/>
    <x v="3"/>
    <s v="Bengaluru"/>
    <x v="0"/>
    <s v="Fiction"/>
    <x v="13"/>
    <x v="7"/>
    <n v="1"/>
    <n v="47666.18"/>
    <n v="20"/>
    <n v="47666.18"/>
    <n v="37671.449999999997"/>
    <n v="9994.73"/>
    <x v="1"/>
    <x v="10"/>
    <x v="0"/>
    <x v="8"/>
    <x v="0"/>
  </r>
  <r>
    <s v="ORD00783"/>
    <s v="2024-06-13"/>
    <s v="Karan Shah"/>
    <x v="3"/>
    <s v="Bengaluru"/>
    <x v="1"/>
    <s v="General"/>
    <x v="1"/>
    <x v="1"/>
    <n v="2"/>
    <n v="7673.62"/>
    <n v="5"/>
    <n v="15347.24"/>
    <n v="10311.77"/>
    <n v="5035.47"/>
    <x v="3"/>
    <x v="33"/>
    <x v="0"/>
    <x v="10"/>
    <x v="0"/>
  </r>
  <r>
    <s v="ORD00784"/>
    <s v="2025-02-01"/>
    <s v="Pooja Nair"/>
    <x v="7"/>
    <s v="Chennai"/>
    <x v="4"/>
    <s v="Storage"/>
    <x v="23"/>
    <x v="4"/>
    <n v="2"/>
    <n v="41671.06"/>
    <n v="30"/>
    <n v="83342.12"/>
    <n v="56202.83"/>
    <n v="27139.29"/>
    <x v="1"/>
    <x v="10"/>
    <x v="0"/>
    <x v="8"/>
    <x v="1"/>
  </r>
  <r>
    <s v="ORD00785"/>
    <s v="2024-09-22"/>
    <s v="Neha Singh"/>
    <x v="5"/>
    <s v="Hyderabad"/>
    <x v="4"/>
    <s v="Cookware"/>
    <x v="7"/>
    <x v="9"/>
    <n v="5"/>
    <n v="15793.43"/>
    <n v="25"/>
    <n v="78967.149999999994"/>
    <n v="59644.42"/>
    <n v="19322.73"/>
    <x v="5"/>
    <x v="11"/>
    <x v="0"/>
    <x v="0"/>
    <x v="0"/>
  </r>
  <r>
    <s v="ORD00786"/>
    <s v="2024-12-27"/>
    <s v="Arjun Mehta"/>
    <x v="0"/>
    <s v="New Delhi"/>
    <x v="2"/>
    <s v="Makeup"/>
    <x v="11"/>
    <x v="11"/>
    <n v="1"/>
    <n v="6767.81"/>
    <n v="10"/>
    <n v="6767.81"/>
    <n v="5167.93"/>
    <n v="1599.88"/>
    <x v="3"/>
    <x v="37"/>
    <x v="0"/>
    <x v="1"/>
    <x v="0"/>
  </r>
  <r>
    <s v="ORD00787"/>
    <s v="2024-11-05"/>
    <s v="Amit Kumar"/>
    <x v="5"/>
    <s v="Hyderabad"/>
    <x v="2"/>
    <s v="Skincare"/>
    <x v="11"/>
    <x v="6"/>
    <n v="5"/>
    <n v="1011.22"/>
    <n v="25"/>
    <n v="5056.1000000000004"/>
    <n v="4129.3"/>
    <n v="926.8"/>
    <x v="5"/>
    <x v="25"/>
    <x v="0"/>
    <x v="3"/>
    <x v="0"/>
  </r>
  <r>
    <s v="ORD00788"/>
    <s v="2024-07-05"/>
    <s v="Sneha Iyer"/>
    <x v="3"/>
    <s v="Bengaluru"/>
    <x v="3"/>
    <s v="Smartphones"/>
    <x v="20"/>
    <x v="8"/>
    <n v="4"/>
    <n v="13371.25"/>
    <n v="30"/>
    <n v="53485"/>
    <n v="45364.74"/>
    <n v="8120.26"/>
    <x v="4"/>
    <x v="14"/>
    <x v="0"/>
    <x v="5"/>
    <x v="0"/>
  </r>
  <r>
    <s v="ORD00789"/>
    <s v="2024-08-01"/>
    <s v="Arjun Mehta"/>
    <x v="4"/>
    <s v="Pune"/>
    <x v="1"/>
    <s v="General"/>
    <x v="1"/>
    <x v="1"/>
    <n v="2"/>
    <n v="28972.11"/>
    <n v="10"/>
    <n v="57944.22"/>
    <n v="40379.64"/>
    <n v="17564.580000000002"/>
    <x v="4"/>
    <x v="37"/>
    <x v="0"/>
    <x v="11"/>
    <x v="0"/>
  </r>
  <r>
    <s v="ORD00790"/>
    <s v="2025-02-06"/>
    <s v="Pooja Nair"/>
    <x v="6"/>
    <s v="Lucknow"/>
    <x v="2"/>
    <s v="Makeup"/>
    <x v="10"/>
    <x v="6"/>
    <n v="1"/>
    <n v="17212.34"/>
    <n v="20"/>
    <n v="17212.34"/>
    <n v="13373.29"/>
    <n v="3839.05"/>
    <x v="3"/>
    <x v="0"/>
    <x v="0"/>
    <x v="8"/>
    <x v="1"/>
  </r>
  <r>
    <s v="ORD00791"/>
    <s v="2024-09-16"/>
    <s v="Neha Singh"/>
    <x v="5"/>
    <s v="Hyderabad"/>
    <x v="0"/>
    <s v="Educational"/>
    <x v="0"/>
    <x v="7"/>
    <n v="1"/>
    <n v="48742"/>
    <n v="10"/>
    <n v="48742"/>
    <n v="32977.26"/>
    <n v="15764.74"/>
    <x v="1"/>
    <x v="19"/>
    <x v="0"/>
    <x v="0"/>
    <x v="0"/>
  </r>
  <r>
    <s v="ORD00792"/>
    <s v="2025-02-08"/>
    <s v="Karan Shah"/>
    <x v="3"/>
    <s v="Mysuru"/>
    <x v="3"/>
    <s v="Smartwatches"/>
    <x v="12"/>
    <x v="14"/>
    <n v="3"/>
    <n v="19117.36"/>
    <n v="20"/>
    <n v="57352.08"/>
    <n v="48736.03"/>
    <n v="8616.0499999999993"/>
    <x v="3"/>
    <x v="14"/>
    <x v="0"/>
    <x v="8"/>
    <x v="1"/>
  </r>
  <r>
    <s v="ORD00793"/>
    <s v="2024-12-15"/>
    <s v="Anjali Gupta"/>
    <x v="0"/>
    <s v="New Delhi"/>
    <x v="3"/>
    <s v="Headphones"/>
    <x v="9"/>
    <x v="13"/>
    <n v="5"/>
    <n v="847.39"/>
    <n v="10"/>
    <n v="4236.95"/>
    <n v="2790.45"/>
    <n v="1446.5"/>
    <x v="5"/>
    <x v="9"/>
    <x v="0"/>
    <x v="1"/>
    <x v="0"/>
  </r>
  <r>
    <s v="ORD00794"/>
    <s v="2024-11-29"/>
    <s v="Amit Kumar"/>
    <x v="3"/>
    <s v="Mysuru"/>
    <x v="4"/>
    <s v="Cookware"/>
    <x v="5"/>
    <x v="4"/>
    <n v="2"/>
    <n v="14796.32"/>
    <n v="15"/>
    <n v="29592.639999999999"/>
    <n v="21816.94"/>
    <n v="7775.7"/>
    <x v="2"/>
    <x v="12"/>
    <x v="0"/>
    <x v="3"/>
    <x v="0"/>
  </r>
  <r>
    <s v="ORD00795"/>
    <s v="2024-10-24"/>
    <s v="Neha Singh"/>
    <x v="3"/>
    <s v="Mysuru"/>
    <x v="2"/>
    <s v="Makeup"/>
    <x v="2"/>
    <x v="2"/>
    <n v="3"/>
    <n v="5238.33"/>
    <n v="25"/>
    <n v="15714.99"/>
    <n v="11510.06"/>
    <n v="4204.93"/>
    <x v="2"/>
    <x v="14"/>
    <x v="0"/>
    <x v="4"/>
    <x v="0"/>
  </r>
  <r>
    <s v="ORD00796"/>
    <s v="2024-11-02"/>
    <s v="Amit Kumar"/>
    <x v="4"/>
    <s v="Mumbai"/>
    <x v="4"/>
    <s v="Storage"/>
    <x v="5"/>
    <x v="9"/>
    <n v="5"/>
    <n v="31430.94"/>
    <n v="10"/>
    <n v="157154.70000000001"/>
    <n v="131135.72"/>
    <n v="26018.98"/>
    <x v="0"/>
    <x v="33"/>
    <x v="0"/>
    <x v="3"/>
    <x v="0"/>
  </r>
  <r>
    <s v="ORD00797"/>
    <s v="2024-04-09"/>
    <s v="Anjali Gupta"/>
    <x v="7"/>
    <s v="Chennai"/>
    <x v="1"/>
    <s v="General"/>
    <x v="1"/>
    <x v="1"/>
    <n v="4"/>
    <n v="27532.48"/>
    <n v="15"/>
    <n v="110129.92"/>
    <n v="82882.03"/>
    <n v="27247.89"/>
    <x v="1"/>
    <x v="21"/>
    <x v="0"/>
    <x v="9"/>
    <x v="0"/>
  </r>
  <r>
    <s v="ORD00798"/>
    <s v="2024-02-20"/>
    <s v="Pooja Nair"/>
    <x v="7"/>
    <s v="Chennai"/>
    <x v="1"/>
    <s v="General"/>
    <x v="1"/>
    <x v="1"/>
    <n v="3"/>
    <n v="41121.949999999997"/>
    <n v="20"/>
    <n v="123365.85"/>
    <n v="96539.54"/>
    <n v="26826.31"/>
    <x v="3"/>
    <x v="23"/>
    <x v="0"/>
    <x v="8"/>
    <x v="0"/>
  </r>
  <r>
    <s v="ORD00799"/>
    <s v="2024-04-10"/>
    <s v="Priya Patel"/>
    <x v="3"/>
    <s v="Bengaluru"/>
    <x v="3"/>
    <s v="Smartwatches"/>
    <x v="18"/>
    <x v="3"/>
    <n v="2"/>
    <n v="12944.89"/>
    <n v="5"/>
    <n v="25889.78"/>
    <n v="21426.05"/>
    <n v="4463.7299999999996"/>
    <x v="3"/>
    <x v="30"/>
    <x v="0"/>
    <x v="9"/>
    <x v="0"/>
  </r>
  <r>
    <s v="ORD00800"/>
    <s v="2024-09-09"/>
    <s v="Rohit Verma"/>
    <x v="3"/>
    <s v="Mysuru"/>
    <x v="1"/>
    <s v="General"/>
    <x v="15"/>
    <x v="1"/>
    <n v="5"/>
    <n v="4729.04"/>
    <n v="25"/>
    <n v="23645.200000000001"/>
    <n v="17945.36"/>
    <n v="5699.84"/>
    <x v="3"/>
    <x v="9"/>
    <x v="2"/>
    <x v="0"/>
    <x v="0"/>
  </r>
  <r>
    <s v="ORD00801"/>
    <s v="2024-12-18"/>
    <s v="Priya Patel"/>
    <x v="1"/>
    <s v="Kolkata"/>
    <x v="2"/>
    <s v="Makeup"/>
    <x v="11"/>
    <x v="6"/>
    <n v="2"/>
    <n v="31512.97"/>
    <n v="15"/>
    <n v="63025.94"/>
    <n v="48100.95"/>
    <n v="14924.99"/>
    <x v="3"/>
    <x v="37"/>
    <x v="0"/>
    <x v="1"/>
    <x v="0"/>
  </r>
  <r>
    <s v="ORD00802"/>
    <s v="2024-11-08"/>
    <s v="Neha Singh"/>
    <x v="5"/>
    <s v="Hyderabad"/>
    <x v="3"/>
    <s v="Headphones"/>
    <x v="3"/>
    <x v="12"/>
    <n v="3"/>
    <n v="46891.65"/>
    <n v="25"/>
    <n v="140674.95000000001"/>
    <n v="97969.19"/>
    <n v="42705.760000000002"/>
    <x v="5"/>
    <x v="36"/>
    <x v="0"/>
    <x v="3"/>
    <x v="0"/>
  </r>
  <r>
    <s v="ORD00803"/>
    <s v="2024-09-23"/>
    <s v="Karan Shah"/>
    <x v="4"/>
    <s v="Pune"/>
    <x v="1"/>
    <s v="General"/>
    <x v="24"/>
    <x v="1"/>
    <n v="2"/>
    <n v="34137.79"/>
    <n v="10"/>
    <n v="68275.58"/>
    <n v="52263.63"/>
    <n v="16011.95"/>
    <x v="5"/>
    <x v="31"/>
    <x v="0"/>
    <x v="0"/>
    <x v="0"/>
  </r>
  <r>
    <s v="ORD00804"/>
    <s v="2024-09-11"/>
    <s v="Arjun Mehta"/>
    <x v="4"/>
    <s v="Nagpur"/>
    <x v="4"/>
    <s v="Cookware"/>
    <x v="7"/>
    <x v="9"/>
    <n v="4"/>
    <n v="41000.910000000003"/>
    <n v="15"/>
    <n v="164003.64000000001"/>
    <n v="125853.29"/>
    <n v="38150.35"/>
    <x v="1"/>
    <x v="16"/>
    <x v="0"/>
    <x v="0"/>
    <x v="0"/>
  </r>
  <r>
    <s v="ORD00805"/>
    <s v="2024-04-10"/>
    <s v="Rohit Verma"/>
    <x v="1"/>
    <s v="Kolkata"/>
    <x v="3"/>
    <s v="Laptops"/>
    <x v="18"/>
    <x v="13"/>
    <n v="4"/>
    <n v="7672.34"/>
    <n v="10"/>
    <n v="30689.360000000001"/>
    <n v="25226.76"/>
    <n v="5462.6"/>
    <x v="1"/>
    <x v="19"/>
    <x v="0"/>
    <x v="9"/>
    <x v="0"/>
  </r>
  <r>
    <s v="ORD00806"/>
    <s v="2024-02-22"/>
    <s v="Karan Shah"/>
    <x v="6"/>
    <s v="Lucknow"/>
    <x v="0"/>
    <s v="Fiction"/>
    <x v="0"/>
    <x v="0"/>
    <n v="3"/>
    <n v="25186.79"/>
    <n v="30"/>
    <n v="75560.37"/>
    <n v="58153.45"/>
    <n v="17406.919999999998"/>
    <x v="3"/>
    <x v="28"/>
    <x v="0"/>
    <x v="8"/>
    <x v="0"/>
  </r>
  <r>
    <s v="ORD00807"/>
    <s v="2024-12-05"/>
    <s v="Anjali Gupta"/>
    <x v="5"/>
    <s v="Hyderabad"/>
    <x v="2"/>
    <s v="Makeup"/>
    <x v="19"/>
    <x v="11"/>
    <n v="1"/>
    <n v="41285.25"/>
    <n v="20"/>
    <n v="41285.25"/>
    <n v="31633.95"/>
    <n v="9651.2999999999993"/>
    <x v="3"/>
    <x v="31"/>
    <x v="0"/>
    <x v="1"/>
    <x v="0"/>
  </r>
  <r>
    <s v="ORD00808"/>
    <s v="2024-04-09"/>
    <s v="Karan Shah"/>
    <x v="3"/>
    <s v="Bengaluru"/>
    <x v="2"/>
    <s v="Skincare"/>
    <x v="19"/>
    <x v="11"/>
    <n v="2"/>
    <n v="30435.75"/>
    <n v="20"/>
    <n v="60871.5"/>
    <n v="46723"/>
    <n v="14148.5"/>
    <x v="4"/>
    <x v="4"/>
    <x v="0"/>
    <x v="9"/>
    <x v="0"/>
  </r>
  <r>
    <s v="ORD00809"/>
    <s v="2024-12-22"/>
    <s v="Neha Singh"/>
    <x v="5"/>
    <s v="Hyderabad"/>
    <x v="3"/>
    <s v="Smartphones"/>
    <x v="18"/>
    <x v="8"/>
    <n v="5"/>
    <n v="45786.559999999998"/>
    <n v="15"/>
    <n v="228932.8"/>
    <n v="168217.60000000001"/>
    <n v="60715.199999999997"/>
    <x v="2"/>
    <x v="23"/>
    <x v="0"/>
    <x v="1"/>
    <x v="0"/>
  </r>
  <r>
    <s v="ORD00810"/>
    <s v="2024-03-26"/>
    <s v="Priya Patel"/>
    <x v="7"/>
    <s v="Coimbatore"/>
    <x v="0"/>
    <s v="Fiction"/>
    <x v="21"/>
    <x v="7"/>
    <n v="3"/>
    <n v="26700.19"/>
    <n v="25"/>
    <n v="80100.570000000007"/>
    <n v="63365.69"/>
    <n v="16734.88"/>
    <x v="3"/>
    <x v="39"/>
    <x v="0"/>
    <x v="7"/>
    <x v="0"/>
  </r>
  <r>
    <s v="ORD00811"/>
    <s v="2024-07-03"/>
    <s v="Neha Singh"/>
    <x v="6"/>
    <s v="Lucknow"/>
    <x v="1"/>
    <s v="General"/>
    <x v="6"/>
    <x v="1"/>
    <n v="3"/>
    <n v="27367.02"/>
    <n v="25"/>
    <n v="82101.06"/>
    <n v="69331.03"/>
    <n v="12770.03"/>
    <x v="2"/>
    <x v="23"/>
    <x v="0"/>
    <x v="5"/>
    <x v="0"/>
  </r>
  <r>
    <s v="ORD00812"/>
    <s v="2024-04-21"/>
    <s v="Anjali Gupta"/>
    <x v="4"/>
    <s v="Nagpur"/>
    <x v="3"/>
    <s v="Headphones"/>
    <x v="9"/>
    <x v="8"/>
    <n v="3"/>
    <n v="17213.3"/>
    <n v="10"/>
    <n v="51639.9"/>
    <n v="37363.75"/>
    <n v="14276.15"/>
    <x v="5"/>
    <x v="5"/>
    <x v="0"/>
    <x v="9"/>
    <x v="0"/>
  </r>
  <r>
    <s v="ORD00813"/>
    <s v="2024-02-26"/>
    <s v="Rahul Sharma"/>
    <x v="3"/>
    <s v="Bengaluru"/>
    <x v="4"/>
    <s v="Cookware"/>
    <x v="5"/>
    <x v="9"/>
    <n v="5"/>
    <n v="4084.62"/>
    <n v="5"/>
    <n v="20423.099999999999"/>
    <n v="13322.75"/>
    <n v="7100.35"/>
    <x v="1"/>
    <x v="17"/>
    <x v="2"/>
    <x v="8"/>
    <x v="0"/>
  </r>
  <r>
    <s v="ORD00814"/>
    <s v="2024-07-17"/>
    <s v="Rahul Sharma"/>
    <x v="2"/>
    <s v="Ahmedabad"/>
    <x v="4"/>
    <s v="Cookware"/>
    <x v="7"/>
    <x v="10"/>
    <n v="4"/>
    <n v="9213.5499999999993"/>
    <n v="25"/>
    <n v="36854.199999999997"/>
    <n v="30798.33"/>
    <n v="6055.87"/>
    <x v="3"/>
    <x v="15"/>
    <x v="0"/>
    <x v="5"/>
    <x v="0"/>
  </r>
  <r>
    <s v="ORD00815"/>
    <s v="2024-08-27"/>
    <s v="Pooja Nair"/>
    <x v="2"/>
    <s v="Ahmedabad"/>
    <x v="1"/>
    <s v="General"/>
    <x v="15"/>
    <x v="1"/>
    <n v="4"/>
    <n v="6114.55"/>
    <n v="5"/>
    <n v="24458.2"/>
    <n v="18983.099999999999"/>
    <n v="5475.1"/>
    <x v="0"/>
    <x v="13"/>
    <x v="2"/>
    <x v="11"/>
    <x v="0"/>
  </r>
  <r>
    <s v="ORD00816"/>
    <s v="2024-04-09"/>
    <s v="Neha Singh"/>
    <x v="5"/>
    <s v="Hyderabad"/>
    <x v="0"/>
    <s v="Educational"/>
    <x v="13"/>
    <x v="7"/>
    <n v="4"/>
    <n v="21670.52"/>
    <n v="25"/>
    <n v="86682.08"/>
    <n v="59036.23"/>
    <n v="27645.85"/>
    <x v="3"/>
    <x v="33"/>
    <x v="0"/>
    <x v="9"/>
    <x v="0"/>
  </r>
  <r>
    <s v="ORD00817"/>
    <s v="2025-01-21"/>
    <s v="Priya Patel"/>
    <x v="2"/>
    <s v="Ahmedabad"/>
    <x v="2"/>
    <s v="Skincare"/>
    <x v="2"/>
    <x v="2"/>
    <n v="4"/>
    <n v="37528.53"/>
    <n v="5"/>
    <n v="150114.12"/>
    <n v="111068"/>
    <n v="39046.120000000003"/>
    <x v="1"/>
    <x v="14"/>
    <x v="0"/>
    <x v="6"/>
    <x v="1"/>
  </r>
  <r>
    <s v="ORD00818"/>
    <s v="2024-12-20"/>
    <s v="Karan Shah"/>
    <x v="2"/>
    <s v="Surat"/>
    <x v="3"/>
    <s v="Smartwatches"/>
    <x v="12"/>
    <x v="3"/>
    <n v="5"/>
    <n v="46526.93"/>
    <n v="30"/>
    <n v="232634.65"/>
    <n v="159871.4"/>
    <n v="72763.25"/>
    <x v="5"/>
    <x v="21"/>
    <x v="0"/>
    <x v="1"/>
    <x v="0"/>
  </r>
  <r>
    <s v="ORD00819"/>
    <s v="2024-03-14"/>
    <s v="Rahul Sharma"/>
    <x v="5"/>
    <s v="Hyderabad"/>
    <x v="0"/>
    <s v="Fiction"/>
    <x v="22"/>
    <x v="7"/>
    <n v="2"/>
    <n v="4042.56"/>
    <n v="30"/>
    <n v="8085.12"/>
    <n v="5304.04"/>
    <n v="2781.08"/>
    <x v="0"/>
    <x v="13"/>
    <x v="0"/>
    <x v="7"/>
    <x v="0"/>
  </r>
  <r>
    <s v="ORD00820"/>
    <s v="2024-12-23"/>
    <s v="Arjun Mehta"/>
    <x v="4"/>
    <s v="Nagpur"/>
    <x v="4"/>
    <s v="Cookware"/>
    <x v="4"/>
    <x v="10"/>
    <n v="1"/>
    <n v="35777.51"/>
    <n v="20"/>
    <n v="35777.51"/>
    <n v="24650.39"/>
    <n v="11127.12"/>
    <x v="5"/>
    <x v="3"/>
    <x v="0"/>
    <x v="1"/>
    <x v="0"/>
  </r>
  <r>
    <s v="ORD00821"/>
    <s v="2024-12-06"/>
    <s v="Arjun Mehta"/>
    <x v="0"/>
    <s v="New Delhi"/>
    <x v="4"/>
    <s v="Cookware"/>
    <x v="16"/>
    <x v="9"/>
    <n v="2"/>
    <n v="4160.5200000000004"/>
    <n v="30"/>
    <n v="8321.0400000000009"/>
    <n v="5463.47"/>
    <n v="2857.57"/>
    <x v="5"/>
    <x v="28"/>
    <x v="0"/>
    <x v="1"/>
    <x v="0"/>
  </r>
  <r>
    <s v="ORD00822"/>
    <s v="2024-08-10"/>
    <s v="Sneha Iyer"/>
    <x v="6"/>
    <s v="Lucknow"/>
    <x v="3"/>
    <s v="Headphones"/>
    <x v="18"/>
    <x v="13"/>
    <n v="3"/>
    <n v="20754.919999999998"/>
    <n v="20"/>
    <n v="62264.76"/>
    <n v="46930.31"/>
    <n v="15334.45"/>
    <x v="0"/>
    <x v="30"/>
    <x v="0"/>
    <x v="11"/>
    <x v="0"/>
  </r>
  <r>
    <s v="ORD00823"/>
    <s v="2024-03-06"/>
    <s v="Anjali Gupta"/>
    <x v="2"/>
    <s v="Surat"/>
    <x v="0"/>
    <s v="Fiction"/>
    <x v="13"/>
    <x v="0"/>
    <n v="2"/>
    <n v="34460.43"/>
    <n v="5"/>
    <n v="68920.86"/>
    <n v="48941.83"/>
    <n v="19979.03"/>
    <x v="3"/>
    <x v="33"/>
    <x v="0"/>
    <x v="7"/>
    <x v="0"/>
  </r>
  <r>
    <s v="ORD00824"/>
    <s v="2024-02-22"/>
    <s v="Sneha Iyer"/>
    <x v="3"/>
    <s v="Bengaluru"/>
    <x v="4"/>
    <s v="Cookware"/>
    <x v="7"/>
    <x v="9"/>
    <n v="5"/>
    <n v="22835.78"/>
    <n v="10"/>
    <n v="114178.9"/>
    <n v="78386.89"/>
    <n v="35792.01"/>
    <x v="2"/>
    <x v="27"/>
    <x v="0"/>
    <x v="8"/>
    <x v="0"/>
  </r>
  <r>
    <s v="ORD00825"/>
    <s v="2024-10-16"/>
    <s v="Neha Singh"/>
    <x v="0"/>
    <s v="New Delhi"/>
    <x v="2"/>
    <s v="Makeup"/>
    <x v="19"/>
    <x v="2"/>
    <n v="2"/>
    <n v="5361.18"/>
    <n v="25"/>
    <n v="10722.36"/>
    <n v="7264.46"/>
    <n v="3457.9"/>
    <x v="5"/>
    <x v="32"/>
    <x v="0"/>
    <x v="4"/>
    <x v="0"/>
  </r>
  <r>
    <s v="ORD00826"/>
    <s v="2024-11-20"/>
    <s v="Karan Shah"/>
    <x v="2"/>
    <s v="Surat"/>
    <x v="1"/>
    <s v="General"/>
    <x v="8"/>
    <x v="1"/>
    <n v="2"/>
    <n v="41996.61"/>
    <n v="5"/>
    <n v="83993.22"/>
    <n v="65480.05"/>
    <n v="18513.169999999998"/>
    <x v="3"/>
    <x v="37"/>
    <x v="0"/>
    <x v="3"/>
    <x v="0"/>
  </r>
  <r>
    <s v="ORD00827"/>
    <s v="2024-04-11"/>
    <s v="Rohit Verma"/>
    <x v="1"/>
    <s v="Kolkata"/>
    <x v="2"/>
    <s v="Skincare"/>
    <x v="10"/>
    <x v="6"/>
    <n v="4"/>
    <n v="43606.83"/>
    <n v="10"/>
    <n v="174427.32"/>
    <n v="117264.11"/>
    <n v="57163.21"/>
    <x v="0"/>
    <x v="22"/>
    <x v="0"/>
    <x v="9"/>
    <x v="0"/>
  </r>
  <r>
    <s v="ORD00828"/>
    <s v="2024-12-12"/>
    <s v="Anjali Gupta"/>
    <x v="7"/>
    <s v="Coimbatore"/>
    <x v="3"/>
    <s v="Smartphones"/>
    <x v="3"/>
    <x v="8"/>
    <n v="5"/>
    <n v="14290.07"/>
    <n v="5"/>
    <n v="71450.350000000006"/>
    <n v="47255.89"/>
    <n v="24194.46"/>
    <x v="0"/>
    <x v="10"/>
    <x v="0"/>
    <x v="1"/>
    <x v="0"/>
  </r>
  <r>
    <s v="ORD00829"/>
    <s v="2024-06-26"/>
    <s v="Arjun Mehta"/>
    <x v="7"/>
    <s v="Coimbatore"/>
    <x v="3"/>
    <s v="Headphones"/>
    <x v="18"/>
    <x v="8"/>
    <n v="3"/>
    <n v="32760.67"/>
    <n v="10"/>
    <n v="98282.01"/>
    <n v="69019.59"/>
    <n v="29262.42"/>
    <x v="5"/>
    <x v="34"/>
    <x v="0"/>
    <x v="10"/>
    <x v="0"/>
  </r>
  <r>
    <s v="ORD00830"/>
    <s v="2024-11-08"/>
    <s v="Anjali Gupta"/>
    <x v="2"/>
    <s v="Ahmedabad"/>
    <x v="0"/>
    <s v="Educational"/>
    <x v="13"/>
    <x v="7"/>
    <n v="1"/>
    <n v="26403.73"/>
    <n v="10"/>
    <n v="26403.73"/>
    <n v="21153.66"/>
    <n v="5250.07"/>
    <x v="0"/>
    <x v="26"/>
    <x v="0"/>
    <x v="3"/>
    <x v="0"/>
  </r>
  <r>
    <s v="ORD00831"/>
    <s v="2024-11-14"/>
    <s v="Rahul Sharma"/>
    <x v="7"/>
    <s v="Coimbatore"/>
    <x v="2"/>
    <s v="Skincare"/>
    <x v="17"/>
    <x v="6"/>
    <n v="1"/>
    <n v="34069.64"/>
    <n v="25"/>
    <n v="34069.64"/>
    <n v="28138.82"/>
    <n v="5930.82"/>
    <x v="2"/>
    <x v="32"/>
    <x v="0"/>
    <x v="3"/>
    <x v="0"/>
  </r>
  <r>
    <s v="ORD00832"/>
    <s v="2024-03-01"/>
    <s v="Arjun Mehta"/>
    <x v="0"/>
    <s v="New Delhi"/>
    <x v="4"/>
    <s v="Storage"/>
    <x v="7"/>
    <x v="9"/>
    <n v="5"/>
    <n v="47284.54"/>
    <n v="20"/>
    <n v="236422.7"/>
    <n v="175107.03"/>
    <n v="61315.67"/>
    <x v="5"/>
    <x v="7"/>
    <x v="0"/>
    <x v="7"/>
    <x v="0"/>
  </r>
  <r>
    <s v="ORD00833"/>
    <s v="2024-10-17"/>
    <s v="Sneha Iyer"/>
    <x v="6"/>
    <s v="Lucknow"/>
    <x v="3"/>
    <s v="Smartwatches"/>
    <x v="3"/>
    <x v="12"/>
    <n v="4"/>
    <n v="28678.880000000001"/>
    <n v="25"/>
    <n v="114715.52"/>
    <n v="94810.6"/>
    <n v="19904.919999999998"/>
    <x v="5"/>
    <x v="13"/>
    <x v="0"/>
    <x v="4"/>
    <x v="0"/>
  </r>
  <r>
    <s v="ORD00834"/>
    <s v="2024-07-23"/>
    <s v="Rahul Sharma"/>
    <x v="3"/>
    <s v="Bengaluru"/>
    <x v="2"/>
    <s v="Skincare"/>
    <x v="2"/>
    <x v="6"/>
    <n v="5"/>
    <n v="44918.35"/>
    <n v="25"/>
    <n v="224591.75"/>
    <n v="153690.94"/>
    <n v="70900.81"/>
    <x v="2"/>
    <x v="2"/>
    <x v="0"/>
    <x v="5"/>
    <x v="0"/>
  </r>
  <r>
    <s v="ORD00835"/>
    <s v="2024-11-11"/>
    <s v="Pooja Nair"/>
    <x v="6"/>
    <s v="Lucknow"/>
    <x v="2"/>
    <s v="Makeup"/>
    <x v="17"/>
    <x v="2"/>
    <n v="1"/>
    <n v="31727.37"/>
    <n v="30"/>
    <n v="31727.37"/>
    <n v="26110.41"/>
    <n v="5616.96"/>
    <x v="0"/>
    <x v="5"/>
    <x v="0"/>
    <x v="3"/>
    <x v="0"/>
  </r>
  <r>
    <s v="ORD00836"/>
    <s v="2024-04-05"/>
    <s v="Karan Shah"/>
    <x v="1"/>
    <s v="Kolkata"/>
    <x v="4"/>
    <s v="Storage"/>
    <x v="16"/>
    <x v="9"/>
    <n v="3"/>
    <n v="10766.58"/>
    <n v="30"/>
    <n v="32299.74"/>
    <n v="24695.599999999999"/>
    <n v="7604.14"/>
    <x v="4"/>
    <x v="24"/>
    <x v="2"/>
    <x v="9"/>
    <x v="0"/>
  </r>
  <r>
    <s v="ORD00837"/>
    <s v="2024-08-15"/>
    <s v="Arjun Mehta"/>
    <x v="2"/>
    <s v="Ahmedabad"/>
    <x v="2"/>
    <s v="Makeup"/>
    <x v="11"/>
    <x v="11"/>
    <n v="4"/>
    <n v="25288.2"/>
    <n v="25"/>
    <n v="101152.8"/>
    <n v="79756.31"/>
    <n v="21396.49"/>
    <x v="0"/>
    <x v="38"/>
    <x v="0"/>
    <x v="11"/>
    <x v="0"/>
  </r>
  <r>
    <s v="ORD00838"/>
    <s v="2024-05-26"/>
    <s v="Arjun Mehta"/>
    <x v="0"/>
    <s v="New Delhi"/>
    <x v="3"/>
    <s v="Smartphones"/>
    <x v="18"/>
    <x v="3"/>
    <n v="5"/>
    <n v="35506.5"/>
    <n v="10"/>
    <n v="177532.5"/>
    <n v="131708.85999999999"/>
    <n v="45823.64"/>
    <x v="1"/>
    <x v="16"/>
    <x v="0"/>
    <x v="2"/>
    <x v="0"/>
  </r>
  <r>
    <s v="ORD00839"/>
    <s v="2024-08-15"/>
    <s v="Amit Kumar"/>
    <x v="0"/>
    <s v="New Delhi"/>
    <x v="0"/>
    <s v="Educational"/>
    <x v="21"/>
    <x v="0"/>
    <n v="4"/>
    <n v="7682.98"/>
    <n v="20"/>
    <n v="30731.919999999998"/>
    <n v="25236.05"/>
    <n v="5495.87"/>
    <x v="3"/>
    <x v="38"/>
    <x v="0"/>
    <x v="11"/>
    <x v="0"/>
  </r>
  <r>
    <s v="ORD00840"/>
    <s v="2024-03-22"/>
    <s v="Anjali Gupta"/>
    <x v="2"/>
    <s v="Surat"/>
    <x v="3"/>
    <s v="Laptops"/>
    <x v="12"/>
    <x v="3"/>
    <n v="2"/>
    <n v="32664.01"/>
    <n v="25"/>
    <n v="65328.02"/>
    <n v="42621.14"/>
    <n v="22706.880000000001"/>
    <x v="5"/>
    <x v="15"/>
    <x v="0"/>
    <x v="7"/>
    <x v="0"/>
  </r>
  <r>
    <s v="ORD00841"/>
    <s v="2024-07-09"/>
    <s v="Anjali Gupta"/>
    <x v="0"/>
    <s v="New Delhi"/>
    <x v="4"/>
    <s v="Storage"/>
    <x v="7"/>
    <x v="10"/>
    <n v="3"/>
    <n v="14359.56"/>
    <n v="15"/>
    <n v="43078.68"/>
    <n v="33135.910000000003"/>
    <n v="9942.77"/>
    <x v="0"/>
    <x v="10"/>
    <x v="0"/>
    <x v="5"/>
    <x v="0"/>
  </r>
  <r>
    <s v="ORD00842"/>
    <s v="2024-08-24"/>
    <s v="Neha Singh"/>
    <x v="7"/>
    <s v="Coimbatore"/>
    <x v="1"/>
    <s v="General"/>
    <x v="6"/>
    <x v="1"/>
    <n v="5"/>
    <n v="3632.93"/>
    <n v="30"/>
    <n v="18164.650000000001"/>
    <n v="12318.44"/>
    <n v="5846.21"/>
    <x v="4"/>
    <x v="37"/>
    <x v="0"/>
    <x v="11"/>
    <x v="0"/>
  </r>
  <r>
    <s v="ORD00843"/>
    <s v="2024-02-13"/>
    <s v="Neha Singh"/>
    <x v="4"/>
    <s v="Nagpur"/>
    <x v="4"/>
    <s v="Cookware"/>
    <x v="5"/>
    <x v="9"/>
    <n v="1"/>
    <n v="30519.71"/>
    <n v="20"/>
    <n v="30519.71"/>
    <n v="21046.57"/>
    <n v="9473.14"/>
    <x v="5"/>
    <x v="3"/>
    <x v="0"/>
    <x v="8"/>
    <x v="0"/>
  </r>
  <r>
    <s v="ORD00844"/>
    <s v="2025-01-03"/>
    <s v="Rohit Verma"/>
    <x v="4"/>
    <s v="Pune"/>
    <x v="4"/>
    <s v="Storage"/>
    <x v="23"/>
    <x v="10"/>
    <n v="3"/>
    <n v="999.54"/>
    <n v="20"/>
    <n v="2998.62"/>
    <n v="1995.3"/>
    <n v="1003.32"/>
    <x v="0"/>
    <x v="3"/>
    <x v="0"/>
    <x v="6"/>
    <x v="1"/>
  </r>
  <r>
    <s v="ORD00845"/>
    <s v="2024-05-20"/>
    <s v="Rohit Verma"/>
    <x v="2"/>
    <s v="Surat"/>
    <x v="4"/>
    <s v="Storage"/>
    <x v="5"/>
    <x v="4"/>
    <n v="3"/>
    <n v="15481.49"/>
    <n v="5"/>
    <n v="46444.47"/>
    <n v="37086.99"/>
    <n v="9357.48"/>
    <x v="2"/>
    <x v="37"/>
    <x v="0"/>
    <x v="2"/>
    <x v="0"/>
  </r>
  <r>
    <s v="ORD00846"/>
    <s v="2024-10-09"/>
    <s v="Neha Singh"/>
    <x v="7"/>
    <s v="Coimbatore"/>
    <x v="4"/>
    <s v="Storage"/>
    <x v="7"/>
    <x v="4"/>
    <n v="2"/>
    <n v="33814.720000000001"/>
    <n v="10"/>
    <n v="67629.440000000002"/>
    <n v="51914.36"/>
    <n v="15715.08"/>
    <x v="5"/>
    <x v="11"/>
    <x v="1"/>
    <x v="4"/>
    <x v="0"/>
  </r>
  <r>
    <s v="ORD00847"/>
    <s v="2024-09-15"/>
    <s v="Neha Singh"/>
    <x v="0"/>
    <s v="New Delhi"/>
    <x v="4"/>
    <s v="Storage"/>
    <x v="7"/>
    <x v="9"/>
    <n v="3"/>
    <n v="13559.39"/>
    <n v="5"/>
    <n v="40678.17"/>
    <n v="31953.1"/>
    <n v="8725.07"/>
    <x v="5"/>
    <x v="22"/>
    <x v="0"/>
    <x v="0"/>
    <x v="0"/>
  </r>
  <r>
    <s v="ORD00848"/>
    <s v="2024-09-14"/>
    <s v="Arjun Mehta"/>
    <x v="0"/>
    <s v="New Delhi"/>
    <x v="1"/>
    <s v="General"/>
    <x v="15"/>
    <x v="1"/>
    <n v="3"/>
    <n v="18461.509999999998"/>
    <n v="10"/>
    <n v="55384.53"/>
    <n v="37538.660000000003"/>
    <n v="17845.87"/>
    <x v="3"/>
    <x v="2"/>
    <x v="0"/>
    <x v="0"/>
    <x v="0"/>
  </r>
  <r>
    <s v="ORD00849"/>
    <s v="2024-06-03"/>
    <s v="Arjun Mehta"/>
    <x v="5"/>
    <s v="Hyderabad"/>
    <x v="3"/>
    <s v="Smartwatches"/>
    <x v="12"/>
    <x v="3"/>
    <n v="4"/>
    <n v="22868.39"/>
    <n v="15"/>
    <n v="91473.56"/>
    <n v="69880.89"/>
    <n v="21592.67"/>
    <x v="0"/>
    <x v="11"/>
    <x v="0"/>
    <x v="10"/>
    <x v="0"/>
  </r>
  <r>
    <s v="ORD00850"/>
    <s v="2024-06-15"/>
    <s v="Rohit Verma"/>
    <x v="7"/>
    <s v="Chennai"/>
    <x v="4"/>
    <s v="Storage"/>
    <x v="23"/>
    <x v="4"/>
    <n v="2"/>
    <n v="17795.7"/>
    <n v="10"/>
    <n v="35591.4"/>
    <n v="25681.98"/>
    <n v="9909.42"/>
    <x v="3"/>
    <x v="24"/>
    <x v="0"/>
    <x v="10"/>
    <x v="0"/>
  </r>
  <r>
    <s v="ORD00851"/>
    <s v="2025-01-13"/>
    <s v="Rohit Verma"/>
    <x v="5"/>
    <s v="Hyderabad"/>
    <x v="2"/>
    <s v="Makeup"/>
    <x v="10"/>
    <x v="11"/>
    <n v="4"/>
    <n v="20095.189999999999"/>
    <n v="5"/>
    <n v="80380.759999999995"/>
    <n v="61874.35"/>
    <n v="18506.41"/>
    <x v="4"/>
    <x v="29"/>
    <x v="0"/>
    <x v="6"/>
    <x v="1"/>
  </r>
  <r>
    <s v="ORD00852"/>
    <s v="2024-07-13"/>
    <s v="Rahul Sharma"/>
    <x v="4"/>
    <s v="Mumbai"/>
    <x v="4"/>
    <s v="Storage"/>
    <x v="4"/>
    <x v="9"/>
    <n v="2"/>
    <n v="13998.81"/>
    <n v="30"/>
    <n v="27997.62"/>
    <n v="20296.68"/>
    <n v="7700.94"/>
    <x v="5"/>
    <x v="29"/>
    <x v="1"/>
    <x v="5"/>
    <x v="0"/>
  </r>
  <r>
    <s v="ORD00853"/>
    <s v="2024-04-06"/>
    <s v="Amit Kumar"/>
    <x v="5"/>
    <s v="Hyderabad"/>
    <x v="4"/>
    <s v="Cookware"/>
    <x v="5"/>
    <x v="4"/>
    <n v="3"/>
    <n v="787.27"/>
    <n v="10"/>
    <n v="2361.81"/>
    <n v="1787.04"/>
    <n v="574.77"/>
    <x v="1"/>
    <x v="37"/>
    <x v="0"/>
    <x v="9"/>
    <x v="0"/>
  </r>
  <r>
    <s v="ORD00854"/>
    <s v="2024-11-12"/>
    <s v="Rahul Sharma"/>
    <x v="2"/>
    <s v="Surat"/>
    <x v="3"/>
    <s v="Smartphones"/>
    <x v="18"/>
    <x v="12"/>
    <n v="3"/>
    <n v="47363.199999999997"/>
    <n v="15"/>
    <n v="142089.60000000001"/>
    <n v="92852.22"/>
    <n v="49237.38"/>
    <x v="4"/>
    <x v="26"/>
    <x v="0"/>
    <x v="3"/>
    <x v="0"/>
  </r>
  <r>
    <s v="ORD00855"/>
    <s v="2024-11-16"/>
    <s v="Priya Patel"/>
    <x v="1"/>
    <s v="Kolkata"/>
    <x v="1"/>
    <s v="General"/>
    <x v="6"/>
    <x v="1"/>
    <n v="4"/>
    <n v="9655.0300000000007"/>
    <n v="25"/>
    <n v="38620.120000000003"/>
    <n v="28962.43"/>
    <n v="9657.69"/>
    <x v="4"/>
    <x v="39"/>
    <x v="0"/>
    <x v="3"/>
    <x v="0"/>
  </r>
  <r>
    <s v="ORD00856"/>
    <s v="2024-10-02"/>
    <s v="Amit Kumar"/>
    <x v="2"/>
    <s v="Surat"/>
    <x v="4"/>
    <s v="Storage"/>
    <x v="4"/>
    <x v="10"/>
    <n v="1"/>
    <n v="24151.49"/>
    <n v="5"/>
    <n v="24151.49"/>
    <n v="16118.69"/>
    <n v="8032.8"/>
    <x v="1"/>
    <x v="38"/>
    <x v="0"/>
    <x v="4"/>
    <x v="0"/>
  </r>
  <r>
    <s v="ORD00857"/>
    <s v="2024-02-27"/>
    <s v="Rohit Verma"/>
    <x v="6"/>
    <s v="Noida"/>
    <x v="0"/>
    <s v="Educational"/>
    <x v="13"/>
    <x v="7"/>
    <n v="4"/>
    <n v="3697.32"/>
    <n v="5"/>
    <n v="14789.28"/>
    <n v="10473.34"/>
    <n v="4315.9399999999996"/>
    <x v="1"/>
    <x v="11"/>
    <x v="0"/>
    <x v="8"/>
    <x v="0"/>
  </r>
  <r>
    <s v="ORD00858"/>
    <s v="2024-12-12"/>
    <s v="Amit Kumar"/>
    <x v="5"/>
    <s v="Hyderabad"/>
    <x v="0"/>
    <s v="Educational"/>
    <x v="0"/>
    <x v="0"/>
    <n v="5"/>
    <n v="43840.04"/>
    <n v="20"/>
    <n v="219200.2"/>
    <n v="159608.04"/>
    <n v="59592.160000000003"/>
    <x v="4"/>
    <x v="32"/>
    <x v="0"/>
    <x v="1"/>
    <x v="0"/>
  </r>
  <r>
    <s v="ORD00859"/>
    <s v="2024-09-04"/>
    <s v="Pooja Nair"/>
    <x v="5"/>
    <s v="Hyderabad"/>
    <x v="4"/>
    <s v="Cookware"/>
    <x v="23"/>
    <x v="4"/>
    <n v="5"/>
    <n v="6494.62"/>
    <n v="15"/>
    <n v="32473.1"/>
    <n v="21790.799999999999"/>
    <n v="10682.3"/>
    <x v="1"/>
    <x v="8"/>
    <x v="2"/>
    <x v="0"/>
    <x v="0"/>
  </r>
  <r>
    <s v="ORD00860"/>
    <s v="2025-02-03"/>
    <s v="Amit Kumar"/>
    <x v="3"/>
    <s v="Bengaluru"/>
    <x v="0"/>
    <s v="Educational"/>
    <x v="0"/>
    <x v="0"/>
    <n v="1"/>
    <n v="7761.67"/>
    <n v="15"/>
    <n v="7761.67"/>
    <n v="6019.94"/>
    <n v="1741.73"/>
    <x v="1"/>
    <x v="38"/>
    <x v="1"/>
    <x v="8"/>
    <x v="1"/>
  </r>
  <r>
    <s v="ORD00861"/>
    <s v="2024-10-23"/>
    <s v="Neha Singh"/>
    <x v="1"/>
    <s v="Kolkata"/>
    <x v="2"/>
    <s v="Skincare"/>
    <x v="17"/>
    <x v="6"/>
    <n v="4"/>
    <n v="43300.52"/>
    <n v="20"/>
    <n v="173202.08"/>
    <n v="132749.73000000001"/>
    <n v="40452.35"/>
    <x v="3"/>
    <x v="19"/>
    <x v="0"/>
    <x v="4"/>
    <x v="0"/>
  </r>
  <r>
    <s v="ORD00862"/>
    <s v="2024-04-18"/>
    <s v="Karan Shah"/>
    <x v="3"/>
    <s v="Mysuru"/>
    <x v="4"/>
    <s v="Storage"/>
    <x v="23"/>
    <x v="4"/>
    <n v="4"/>
    <n v="36583.040000000001"/>
    <n v="20"/>
    <n v="146332.16"/>
    <n v="122640.67"/>
    <n v="23691.49"/>
    <x v="3"/>
    <x v="6"/>
    <x v="0"/>
    <x v="9"/>
    <x v="0"/>
  </r>
  <r>
    <s v="ORD00863"/>
    <s v="2024-07-28"/>
    <s v="Anjali Gupta"/>
    <x v="5"/>
    <s v="Hyderabad"/>
    <x v="3"/>
    <s v="Headphones"/>
    <x v="3"/>
    <x v="14"/>
    <n v="3"/>
    <n v="43298.080000000002"/>
    <n v="10"/>
    <n v="129894.24"/>
    <n v="90897.97"/>
    <n v="38996.269999999997"/>
    <x v="1"/>
    <x v="14"/>
    <x v="0"/>
    <x v="5"/>
    <x v="0"/>
  </r>
  <r>
    <s v="ORD00864"/>
    <s v="2024-03-29"/>
    <s v="Arjun Mehta"/>
    <x v="0"/>
    <s v="New Delhi"/>
    <x v="0"/>
    <s v="Fiction"/>
    <x v="22"/>
    <x v="0"/>
    <n v="5"/>
    <n v="47427.3"/>
    <n v="25"/>
    <n v="237136.5"/>
    <n v="191566.67"/>
    <n v="45569.83"/>
    <x v="2"/>
    <x v="9"/>
    <x v="0"/>
    <x v="7"/>
    <x v="0"/>
  </r>
  <r>
    <s v="ORD00865"/>
    <s v="2024-07-26"/>
    <s v="Pooja Nair"/>
    <x v="5"/>
    <s v="Hyderabad"/>
    <x v="3"/>
    <s v="Smartphones"/>
    <x v="12"/>
    <x v="12"/>
    <n v="5"/>
    <n v="32950.949999999997"/>
    <n v="10"/>
    <n v="164754.75"/>
    <n v="107826.46"/>
    <n v="56928.29"/>
    <x v="5"/>
    <x v="21"/>
    <x v="0"/>
    <x v="5"/>
    <x v="0"/>
  </r>
  <r>
    <s v="ORD00866"/>
    <s v="2024-04-19"/>
    <s v="Arjun Mehta"/>
    <x v="4"/>
    <s v="Mumbai"/>
    <x v="2"/>
    <s v="Makeup"/>
    <x v="2"/>
    <x v="6"/>
    <n v="2"/>
    <n v="14064.35"/>
    <n v="5"/>
    <n v="28128.7"/>
    <n v="19253.099999999999"/>
    <n v="8875.6"/>
    <x v="5"/>
    <x v="36"/>
    <x v="0"/>
    <x v="9"/>
    <x v="0"/>
  </r>
  <r>
    <s v="ORD00867"/>
    <s v="2024-05-18"/>
    <s v="Neha Singh"/>
    <x v="2"/>
    <s v="Surat"/>
    <x v="2"/>
    <s v="Makeup"/>
    <x v="11"/>
    <x v="2"/>
    <n v="3"/>
    <n v="49911.75"/>
    <n v="25"/>
    <n v="149735.25"/>
    <n v="109599.67999999999"/>
    <n v="40135.57"/>
    <x v="2"/>
    <x v="4"/>
    <x v="2"/>
    <x v="2"/>
    <x v="0"/>
  </r>
  <r>
    <s v="ORD00868"/>
    <s v="2025-01-22"/>
    <s v="Anjali Gupta"/>
    <x v="0"/>
    <s v="New Delhi"/>
    <x v="3"/>
    <s v="Smartwatches"/>
    <x v="20"/>
    <x v="3"/>
    <n v="3"/>
    <n v="40986.82"/>
    <n v="15"/>
    <n v="122960.46"/>
    <n v="86233.25"/>
    <n v="36727.21"/>
    <x v="3"/>
    <x v="0"/>
    <x v="0"/>
    <x v="6"/>
    <x v="1"/>
  </r>
  <r>
    <s v="ORD00869"/>
    <s v="2024-03-15"/>
    <s v="Rohit Verma"/>
    <x v="0"/>
    <s v="New Delhi"/>
    <x v="4"/>
    <s v="Storage"/>
    <x v="23"/>
    <x v="10"/>
    <n v="4"/>
    <n v="32863.879999999997"/>
    <n v="15"/>
    <n v="131455.51999999999"/>
    <n v="85712.91"/>
    <n v="45742.61"/>
    <x v="2"/>
    <x v="35"/>
    <x v="0"/>
    <x v="7"/>
    <x v="0"/>
  </r>
  <r>
    <s v="ORD00870"/>
    <s v="2024-08-01"/>
    <s v="Anjali Gupta"/>
    <x v="5"/>
    <s v="Hyderabad"/>
    <x v="2"/>
    <s v="Skincare"/>
    <x v="10"/>
    <x v="2"/>
    <n v="4"/>
    <n v="37424.589999999997"/>
    <n v="30"/>
    <n v="149698.35999999999"/>
    <n v="102788.02"/>
    <n v="46910.34"/>
    <x v="5"/>
    <x v="12"/>
    <x v="0"/>
    <x v="11"/>
    <x v="0"/>
  </r>
  <r>
    <s v="ORD00871"/>
    <s v="2024-05-15"/>
    <s v="Rohit Verma"/>
    <x v="5"/>
    <s v="Hyderabad"/>
    <x v="4"/>
    <s v="Cookware"/>
    <x v="7"/>
    <x v="4"/>
    <n v="2"/>
    <n v="36930.76"/>
    <n v="15"/>
    <n v="73861.52"/>
    <n v="62481.09"/>
    <n v="11380.43"/>
    <x v="0"/>
    <x v="30"/>
    <x v="2"/>
    <x v="2"/>
    <x v="0"/>
  </r>
  <r>
    <s v="ORD00872"/>
    <s v="2024-11-02"/>
    <s v="Priya Patel"/>
    <x v="0"/>
    <s v="New Delhi"/>
    <x v="0"/>
    <s v="Educational"/>
    <x v="14"/>
    <x v="0"/>
    <n v="1"/>
    <n v="40379.730000000003"/>
    <n v="25"/>
    <n v="40379.730000000003"/>
    <n v="28268.95"/>
    <n v="12110.78"/>
    <x v="3"/>
    <x v="28"/>
    <x v="0"/>
    <x v="3"/>
    <x v="0"/>
  </r>
  <r>
    <s v="ORD00873"/>
    <s v="2024-02-29"/>
    <s v="Rahul Sharma"/>
    <x v="0"/>
    <s v="New Delhi"/>
    <x v="1"/>
    <s v="General"/>
    <x v="15"/>
    <x v="1"/>
    <n v="5"/>
    <n v="16938.75"/>
    <n v="10"/>
    <n v="84693.75"/>
    <n v="67808.100000000006"/>
    <n v="16885.650000000001"/>
    <x v="0"/>
    <x v="3"/>
    <x v="0"/>
    <x v="8"/>
    <x v="0"/>
  </r>
  <r>
    <s v="ORD00874"/>
    <s v="2024-09-24"/>
    <s v="Rohit Verma"/>
    <x v="6"/>
    <s v="Noida"/>
    <x v="1"/>
    <s v="General"/>
    <x v="24"/>
    <x v="1"/>
    <n v="5"/>
    <n v="2415.3200000000002"/>
    <n v="25"/>
    <n v="12076.6"/>
    <n v="10139.32"/>
    <n v="1937.28"/>
    <x v="3"/>
    <x v="3"/>
    <x v="0"/>
    <x v="0"/>
    <x v="0"/>
  </r>
  <r>
    <s v="ORD00875"/>
    <s v="2024-08-31"/>
    <s v="Arjun Mehta"/>
    <x v="6"/>
    <s v="Lucknow"/>
    <x v="2"/>
    <s v="Skincare"/>
    <x v="17"/>
    <x v="2"/>
    <n v="3"/>
    <n v="49127.14"/>
    <n v="20"/>
    <n v="147381.42000000001"/>
    <n v="123290.39"/>
    <n v="24091.03"/>
    <x v="1"/>
    <x v="34"/>
    <x v="0"/>
    <x v="11"/>
    <x v="0"/>
  </r>
  <r>
    <s v="ORD00876"/>
    <s v="2024-06-07"/>
    <s v="Karan Shah"/>
    <x v="5"/>
    <s v="Hyderabad"/>
    <x v="1"/>
    <s v="General"/>
    <x v="8"/>
    <x v="1"/>
    <n v="3"/>
    <n v="1416.84"/>
    <n v="25"/>
    <n v="4250.5200000000004"/>
    <n v="2990.96"/>
    <n v="1259.56"/>
    <x v="5"/>
    <x v="31"/>
    <x v="0"/>
    <x v="10"/>
    <x v="0"/>
  </r>
  <r>
    <s v="ORD00877"/>
    <s v="2024-08-22"/>
    <s v="Karan Shah"/>
    <x v="7"/>
    <s v="Chennai"/>
    <x v="2"/>
    <s v="Skincare"/>
    <x v="17"/>
    <x v="6"/>
    <n v="3"/>
    <n v="21112.13"/>
    <n v="30"/>
    <n v="63336.39"/>
    <n v="45352.43"/>
    <n v="17983.96"/>
    <x v="1"/>
    <x v="30"/>
    <x v="0"/>
    <x v="11"/>
    <x v="0"/>
  </r>
  <r>
    <s v="ORD00878"/>
    <s v="2024-10-24"/>
    <s v="Priya Patel"/>
    <x v="2"/>
    <s v="Ahmedabad"/>
    <x v="2"/>
    <s v="Skincare"/>
    <x v="11"/>
    <x v="2"/>
    <n v="5"/>
    <n v="13061.91"/>
    <n v="20"/>
    <n v="65309.55"/>
    <n v="45294.98"/>
    <n v="20014.57"/>
    <x v="0"/>
    <x v="30"/>
    <x v="0"/>
    <x v="4"/>
    <x v="0"/>
  </r>
  <r>
    <s v="ORD00879"/>
    <s v="2024-03-28"/>
    <s v="Priya Patel"/>
    <x v="7"/>
    <s v="Coimbatore"/>
    <x v="0"/>
    <s v="Fiction"/>
    <x v="22"/>
    <x v="0"/>
    <n v="5"/>
    <n v="7465.89"/>
    <n v="10"/>
    <n v="37329.449999999997"/>
    <n v="29920.240000000002"/>
    <n v="7409.21"/>
    <x v="0"/>
    <x v="2"/>
    <x v="0"/>
    <x v="7"/>
    <x v="0"/>
  </r>
  <r>
    <s v="ORD00880"/>
    <s v="2025-01-01"/>
    <s v="Rahul Sharma"/>
    <x v="4"/>
    <s v="Pune"/>
    <x v="0"/>
    <s v="Educational"/>
    <x v="21"/>
    <x v="7"/>
    <n v="1"/>
    <n v="38005.050000000003"/>
    <n v="20"/>
    <n v="38005.050000000003"/>
    <n v="29093.61"/>
    <n v="8911.44"/>
    <x v="1"/>
    <x v="9"/>
    <x v="0"/>
    <x v="6"/>
    <x v="1"/>
  </r>
  <r>
    <s v="ORD00881"/>
    <s v="2024-08-21"/>
    <s v="Anjali Gupta"/>
    <x v="4"/>
    <s v="Mumbai"/>
    <x v="1"/>
    <s v="General"/>
    <x v="15"/>
    <x v="1"/>
    <n v="5"/>
    <n v="42307.18"/>
    <n v="10"/>
    <n v="211535.9"/>
    <n v="147160.98000000001"/>
    <n v="64374.92"/>
    <x v="3"/>
    <x v="27"/>
    <x v="0"/>
    <x v="11"/>
    <x v="0"/>
  </r>
  <r>
    <s v="ORD00882"/>
    <s v="2024-05-22"/>
    <s v="Pooja Nair"/>
    <x v="7"/>
    <s v="Coimbatore"/>
    <x v="4"/>
    <s v="Storage"/>
    <x v="5"/>
    <x v="10"/>
    <n v="3"/>
    <n v="28727.4"/>
    <n v="10"/>
    <n v="86182.2"/>
    <n v="71360.2"/>
    <n v="14822"/>
    <x v="3"/>
    <x v="25"/>
    <x v="0"/>
    <x v="2"/>
    <x v="0"/>
  </r>
  <r>
    <s v="ORD00883"/>
    <s v="2024-12-12"/>
    <s v="Neha Singh"/>
    <x v="4"/>
    <s v="Pune"/>
    <x v="2"/>
    <s v="Makeup"/>
    <x v="17"/>
    <x v="11"/>
    <n v="3"/>
    <n v="8465.2800000000007"/>
    <n v="15"/>
    <n v="25395.84"/>
    <n v="20299.080000000002"/>
    <n v="5096.76"/>
    <x v="4"/>
    <x v="31"/>
    <x v="0"/>
    <x v="1"/>
    <x v="0"/>
  </r>
  <r>
    <s v="ORD00884"/>
    <s v="2024-05-15"/>
    <s v="Arjun Mehta"/>
    <x v="3"/>
    <s v="Mysuru"/>
    <x v="0"/>
    <s v="Fiction"/>
    <x v="14"/>
    <x v="0"/>
    <n v="3"/>
    <n v="17194.75"/>
    <n v="10"/>
    <n v="51584.25"/>
    <n v="35350.480000000003"/>
    <n v="16233.77"/>
    <x v="2"/>
    <x v="30"/>
    <x v="0"/>
    <x v="2"/>
    <x v="0"/>
  </r>
  <r>
    <s v="ORD00885"/>
    <s v="2024-03-09"/>
    <s v="Anjali Gupta"/>
    <x v="6"/>
    <s v="Lucknow"/>
    <x v="1"/>
    <s v="General"/>
    <x v="6"/>
    <x v="1"/>
    <n v="4"/>
    <n v="26550.66"/>
    <n v="10"/>
    <n v="106202.64"/>
    <n v="73397.33"/>
    <n v="32805.31"/>
    <x v="3"/>
    <x v="26"/>
    <x v="0"/>
    <x v="7"/>
    <x v="0"/>
  </r>
  <r>
    <s v="ORD00886"/>
    <s v="2024-04-09"/>
    <s v="Rohit Verma"/>
    <x v="6"/>
    <s v="Noida"/>
    <x v="0"/>
    <s v="Fiction"/>
    <x v="0"/>
    <x v="0"/>
    <n v="4"/>
    <n v="24335.78"/>
    <n v="25"/>
    <n v="97343.12"/>
    <n v="79527.929999999993"/>
    <n v="17815.189999999999"/>
    <x v="1"/>
    <x v="4"/>
    <x v="0"/>
    <x v="9"/>
    <x v="0"/>
  </r>
  <r>
    <s v="ORD00887"/>
    <s v="2024-10-29"/>
    <s v="Neha Singh"/>
    <x v="7"/>
    <s v="Chennai"/>
    <x v="4"/>
    <s v="Cookware"/>
    <x v="23"/>
    <x v="10"/>
    <n v="1"/>
    <n v="17308.52"/>
    <n v="25"/>
    <n v="17308.52"/>
    <n v="11692.51"/>
    <n v="5616.01"/>
    <x v="5"/>
    <x v="21"/>
    <x v="0"/>
    <x v="4"/>
    <x v="0"/>
  </r>
  <r>
    <s v="ORD00888"/>
    <s v="2024-05-22"/>
    <s v="Pooja Nair"/>
    <x v="6"/>
    <s v="Noida"/>
    <x v="3"/>
    <s v="Laptops"/>
    <x v="18"/>
    <x v="8"/>
    <n v="1"/>
    <n v="18097.79"/>
    <n v="10"/>
    <n v="18097.79"/>
    <n v="14540.55"/>
    <n v="3557.24"/>
    <x v="5"/>
    <x v="28"/>
    <x v="2"/>
    <x v="2"/>
    <x v="0"/>
  </r>
  <r>
    <s v="ORD00889"/>
    <s v="2024-06-10"/>
    <s v="Rahul Sharma"/>
    <x v="6"/>
    <s v="Noida"/>
    <x v="0"/>
    <s v="Fiction"/>
    <x v="14"/>
    <x v="7"/>
    <n v="2"/>
    <n v="45792.57"/>
    <n v="5"/>
    <n v="91585.14"/>
    <n v="66086.600000000006"/>
    <n v="25498.54"/>
    <x v="4"/>
    <x v="4"/>
    <x v="0"/>
    <x v="10"/>
    <x v="0"/>
  </r>
  <r>
    <s v="ORD00890"/>
    <s v="2024-03-02"/>
    <s v="Priya Patel"/>
    <x v="0"/>
    <s v="New Delhi"/>
    <x v="2"/>
    <s v="Skincare"/>
    <x v="17"/>
    <x v="2"/>
    <n v="4"/>
    <n v="35879.79"/>
    <n v="5"/>
    <n v="143519.16"/>
    <n v="114359.84"/>
    <n v="29159.32"/>
    <x v="1"/>
    <x v="2"/>
    <x v="0"/>
    <x v="7"/>
    <x v="0"/>
  </r>
  <r>
    <s v="ORD00891"/>
    <s v="2024-08-24"/>
    <s v="Anjali Gupta"/>
    <x v="2"/>
    <s v="Surat"/>
    <x v="4"/>
    <s v="Cookware"/>
    <x v="4"/>
    <x v="10"/>
    <n v="3"/>
    <n v="16158.74"/>
    <n v="5"/>
    <n v="48476.22"/>
    <n v="33703.839999999997"/>
    <n v="14772.38"/>
    <x v="3"/>
    <x v="24"/>
    <x v="0"/>
    <x v="11"/>
    <x v="0"/>
  </r>
  <r>
    <s v="ORD00892"/>
    <s v="2024-03-03"/>
    <s v="Priya Patel"/>
    <x v="2"/>
    <s v="Surat"/>
    <x v="1"/>
    <s v="General"/>
    <x v="1"/>
    <x v="1"/>
    <n v="1"/>
    <n v="15387.4"/>
    <n v="15"/>
    <n v="15387.4"/>
    <n v="12688.95"/>
    <n v="2698.45"/>
    <x v="1"/>
    <x v="24"/>
    <x v="0"/>
    <x v="7"/>
    <x v="0"/>
  </r>
  <r>
    <s v="ORD00893"/>
    <s v="2024-10-09"/>
    <s v="Pooja Nair"/>
    <x v="1"/>
    <s v="Kolkata"/>
    <x v="0"/>
    <s v="Educational"/>
    <x v="21"/>
    <x v="7"/>
    <n v="5"/>
    <n v="11134.83"/>
    <n v="15"/>
    <n v="55674.15"/>
    <n v="40924.339999999997"/>
    <n v="14749.81"/>
    <x v="5"/>
    <x v="3"/>
    <x v="0"/>
    <x v="4"/>
    <x v="0"/>
  </r>
  <r>
    <s v="ORD00894"/>
    <s v="2024-09-02"/>
    <s v="Neha Singh"/>
    <x v="2"/>
    <s v="Ahmedabad"/>
    <x v="2"/>
    <s v="Makeup"/>
    <x v="2"/>
    <x v="11"/>
    <n v="3"/>
    <n v="49835.85"/>
    <n v="15"/>
    <n v="149507.54999999999"/>
    <n v="117546.69"/>
    <n v="31960.86"/>
    <x v="4"/>
    <x v="16"/>
    <x v="0"/>
    <x v="0"/>
    <x v="0"/>
  </r>
  <r>
    <s v="ORD00895"/>
    <s v="2025-01-08"/>
    <s v="Rohit Verma"/>
    <x v="5"/>
    <s v="Hyderabad"/>
    <x v="3"/>
    <s v="Laptops"/>
    <x v="9"/>
    <x v="14"/>
    <n v="1"/>
    <n v="1002.29"/>
    <n v="10"/>
    <n v="1002.29"/>
    <n v="664.67"/>
    <n v="337.62"/>
    <x v="1"/>
    <x v="23"/>
    <x v="2"/>
    <x v="6"/>
    <x v="1"/>
  </r>
  <r>
    <s v="ORD00896"/>
    <s v="2024-07-20"/>
    <s v="Sneha Iyer"/>
    <x v="5"/>
    <s v="Hyderabad"/>
    <x v="3"/>
    <s v="Smartphones"/>
    <x v="20"/>
    <x v="8"/>
    <n v="4"/>
    <n v="26448.240000000002"/>
    <n v="5"/>
    <n v="105792.96000000001"/>
    <n v="79998.899999999994"/>
    <n v="25794.06"/>
    <x v="5"/>
    <x v="12"/>
    <x v="0"/>
    <x v="5"/>
    <x v="0"/>
  </r>
  <r>
    <s v="ORD00897"/>
    <s v="2024-09-12"/>
    <s v="Pooja Nair"/>
    <x v="4"/>
    <s v="Nagpur"/>
    <x v="2"/>
    <s v="Skincare"/>
    <x v="11"/>
    <x v="11"/>
    <n v="5"/>
    <n v="30650.46"/>
    <n v="10"/>
    <n v="153252.29999999999"/>
    <n v="103643.19"/>
    <n v="49609.11"/>
    <x v="5"/>
    <x v="14"/>
    <x v="0"/>
    <x v="0"/>
    <x v="0"/>
  </r>
  <r>
    <s v="ORD00898"/>
    <s v="2024-05-19"/>
    <s v="Neha Singh"/>
    <x v="3"/>
    <s v="Mysuru"/>
    <x v="4"/>
    <s v="Storage"/>
    <x v="5"/>
    <x v="9"/>
    <n v="2"/>
    <n v="31978.03"/>
    <n v="30"/>
    <n v="63956.06"/>
    <n v="44235.14"/>
    <n v="19720.919999999998"/>
    <x v="4"/>
    <x v="13"/>
    <x v="0"/>
    <x v="2"/>
    <x v="0"/>
  </r>
  <r>
    <s v="ORD00899"/>
    <s v="2024-07-19"/>
    <s v="Rohit Verma"/>
    <x v="7"/>
    <s v="Chennai"/>
    <x v="1"/>
    <s v="General"/>
    <x v="24"/>
    <x v="1"/>
    <n v="1"/>
    <n v="45516.21"/>
    <n v="10"/>
    <n v="45516.21"/>
    <n v="37535.74"/>
    <n v="7980.47"/>
    <x v="1"/>
    <x v="34"/>
    <x v="0"/>
    <x v="5"/>
    <x v="0"/>
  </r>
  <r>
    <s v="ORD00900"/>
    <s v="2024-05-21"/>
    <s v="Sneha Iyer"/>
    <x v="2"/>
    <s v="Ahmedabad"/>
    <x v="0"/>
    <s v="Educational"/>
    <x v="13"/>
    <x v="0"/>
    <n v="1"/>
    <n v="31922.03"/>
    <n v="15"/>
    <n v="31922.03"/>
    <n v="26514.9"/>
    <n v="5407.13"/>
    <x v="5"/>
    <x v="15"/>
    <x v="0"/>
    <x v="2"/>
    <x v="0"/>
  </r>
  <r>
    <s v="ORD00901"/>
    <s v="2024-08-04"/>
    <s v="Arjun Mehta"/>
    <x v="3"/>
    <s v="Bengaluru"/>
    <x v="2"/>
    <s v="Makeup"/>
    <x v="11"/>
    <x v="2"/>
    <n v="3"/>
    <n v="3481.52"/>
    <n v="10"/>
    <n v="10444.56"/>
    <n v="7445.18"/>
    <n v="2999.38"/>
    <x v="5"/>
    <x v="19"/>
    <x v="0"/>
    <x v="11"/>
    <x v="0"/>
  </r>
  <r>
    <s v="ORD00902"/>
    <s v="2024-09-14"/>
    <s v="Arjun Mehta"/>
    <x v="7"/>
    <s v="Coimbatore"/>
    <x v="4"/>
    <s v="Storage"/>
    <x v="7"/>
    <x v="4"/>
    <n v="4"/>
    <n v="27507.360000000001"/>
    <n v="25"/>
    <n v="110029.44"/>
    <n v="80874.3"/>
    <n v="29155.14"/>
    <x v="4"/>
    <x v="16"/>
    <x v="0"/>
    <x v="0"/>
    <x v="0"/>
  </r>
  <r>
    <s v="ORD00903"/>
    <s v="2025-01-23"/>
    <s v="Anjali Gupta"/>
    <x v="7"/>
    <s v="Chennai"/>
    <x v="4"/>
    <s v="Cookware"/>
    <x v="7"/>
    <x v="9"/>
    <n v="5"/>
    <n v="34870.120000000003"/>
    <n v="10"/>
    <n v="174350.6"/>
    <n v="127501.22"/>
    <n v="46849.38"/>
    <x v="0"/>
    <x v="29"/>
    <x v="0"/>
    <x v="6"/>
    <x v="1"/>
  </r>
  <r>
    <s v="ORD00904"/>
    <s v="2024-08-08"/>
    <s v="Arjun Mehta"/>
    <x v="7"/>
    <s v="Coimbatore"/>
    <x v="4"/>
    <s v="Cookware"/>
    <x v="7"/>
    <x v="10"/>
    <n v="1"/>
    <n v="11540.73"/>
    <n v="15"/>
    <n v="11540.73"/>
    <n v="7936.9"/>
    <n v="3603.83"/>
    <x v="2"/>
    <x v="22"/>
    <x v="0"/>
    <x v="11"/>
    <x v="0"/>
  </r>
  <r>
    <s v="ORD00905"/>
    <s v="2024-02-19"/>
    <s v="Arjun Mehta"/>
    <x v="5"/>
    <s v="Hyderabad"/>
    <x v="3"/>
    <s v="Laptops"/>
    <x v="18"/>
    <x v="12"/>
    <n v="4"/>
    <n v="2926.8"/>
    <n v="15"/>
    <n v="11707.2"/>
    <n v="8316.77"/>
    <n v="3390.43"/>
    <x v="4"/>
    <x v="10"/>
    <x v="0"/>
    <x v="8"/>
    <x v="0"/>
  </r>
  <r>
    <s v="ORD00906"/>
    <s v="2024-10-02"/>
    <s v="Neha Singh"/>
    <x v="1"/>
    <s v="Kolkata"/>
    <x v="0"/>
    <s v="Fiction"/>
    <x v="0"/>
    <x v="0"/>
    <n v="2"/>
    <n v="37341.949999999997"/>
    <n v="25"/>
    <n v="74683.899999999994"/>
    <n v="50429.440000000002"/>
    <n v="24254.46"/>
    <x v="0"/>
    <x v="38"/>
    <x v="0"/>
    <x v="4"/>
    <x v="0"/>
  </r>
  <r>
    <s v="ORD00907"/>
    <s v="2024-03-01"/>
    <s v="Karan Shah"/>
    <x v="6"/>
    <s v="Noida"/>
    <x v="4"/>
    <s v="Cookware"/>
    <x v="7"/>
    <x v="9"/>
    <n v="1"/>
    <n v="30100.73"/>
    <n v="25"/>
    <n v="30100.73"/>
    <n v="22207.94"/>
    <n v="7892.79"/>
    <x v="1"/>
    <x v="5"/>
    <x v="0"/>
    <x v="7"/>
    <x v="0"/>
  </r>
  <r>
    <s v="ORD00908"/>
    <s v="2024-03-29"/>
    <s v="Anjali Gupta"/>
    <x v="2"/>
    <s v="Ahmedabad"/>
    <x v="1"/>
    <s v="General"/>
    <x v="1"/>
    <x v="1"/>
    <n v="3"/>
    <n v="4442.1000000000004"/>
    <n v="15"/>
    <n v="13326.3"/>
    <n v="9076.02"/>
    <n v="4250.28"/>
    <x v="0"/>
    <x v="18"/>
    <x v="0"/>
    <x v="7"/>
    <x v="0"/>
  </r>
  <r>
    <s v="ORD00909"/>
    <s v="2025-01-02"/>
    <s v="Rahul Sharma"/>
    <x v="3"/>
    <s v="Bengaluru"/>
    <x v="4"/>
    <s v="Cookware"/>
    <x v="16"/>
    <x v="9"/>
    <n v="5"/>
    <n v="18657.990000000002"/>
    <n v="25"/>
    <n v="93289.95"/>
    <n v="66157.23"/>
    <n v="27132.720000000001"/>
    <x v="5"/>
    <x v="5"/>
    <x v="2"/>
    <x v="6"/>
    <x v="1"/>
  </r>
  <r>
    <s v="ORD00910"/>
    <s v="2024-07-10"/>
    <s v="Karan Shah"/>
    <x v="2"/>
    <s v="Surat"/>
    <x v="2"/>
    <s v="Skincare"/>
    <x v="19"/>
    <x v="2"/>
    <n v="1"/>
    <n v="41402.76"/>
    <n v="15"/>
    <n v="41402.76"/>
    <n v="32761.74"/>
    <n v="8641.02"/>
    <x v="4"/>
    <x v="3"/>
    <x v="0"/>
    <x v="5"/>
    <x v="0"/>
  </r>
  <r>
    <s v="ORD00911"/>
    <s v="2024-10-25"/>
    <s v="Priya Patel"/>
    <x v="6"/>
    <s v="Lucknow"/>
    <x v="0"/>
    <s v="Educational"/>
    <x v="0"/>
    <x v="7"/>
    <n v="1"/>
    <n v="49796.61"/>
    <n v="30"/>
    <n v="49796.61"/>
    <n v="40395.269999999997"/>
    <n v="9401.34"/>
    <x v="3"/>
    <x v="27"/>
    <x v="0"/>
    <x v="4"/>
    <x v="0"/>
  </r>
  <r>
    <s v="ORD00912"/>
    <s v="2024-05-03"/>
    <s v="Rohit Verma"/>
    <x v="5"/>
    <s v="Hyderabad"/>
    <x v="2"/>
    <s v="Makeup"/>
    <x v="10"/>
    <x v="2"/>
    <n v="2"/>
    <n v="32712.91"/>
    <n v="25"/>
    <n v="65425.82"/>
    <n v="46385.35"/>
    <n v="19040.47"/>
    <x v="5"/>
    <x v="24"/>
    <x v="0"/>
    <x v="2"/>
    <x v="0"/>
  </r>
  <r>
    <s v="ORD00913"/>
    <s v="2024-06-24"/>
    <s v="Priya Patel"/>
    <x v="0"/>
    <s v="New Delhi"/>
    <x v="2"/>
    <s v="Makeup"/>
    <x v="2"/>
    <x v="11"/>
    <n v="1"/>
    <n v="26281.98"/>
    <n v="10"/>
    <n v="26281.98"/>
    <n v="18514.86"/>
    <n v="7767.12"/>
    <x v="0"/>
    <x v="17"/>
    <x v="0"/>
    <x v="10"/>
    <x v="0"/>
  </r>
  <r>
    <s v="ORD00914"/>
    <s v="2024-06-15"/>
    <s v="Karan Shah"/>
    <x v="6"/>
    <s v="Lucknow"/>
    <x v="4"/>
    <s v="Cookware"/>
    <x v="7"/>
    <x v="4"/>
    <n v="5"/>
    <n v="30805.88"/>
    <n v="5"/>
    <n v="154029.4"/>
    <n v="104139.59"/>
    <n v="49889.81"/>
    <x v="4"/>
    <x v="19"/>
    <x v="0"/>
    <x v="10"/>
    <x v="0"/>
  </r>
  <r>
    <s v="ORD00915"/>
    <s v="2024-07-04"/>
    <s v="Karan Shah"/>
    <x v="1"/>
    <s v="Kolkata"/>
    <x v="1"/>
    <s v="General"/>
    <x v="24"/>
    <x v="1"/>
    <n v="5"/>
    <n v="9045.23"/>
    <n v="30"/>
    <n v="45226.15"/>
    <n v="30343.73"/>
    <n v="14882.42"/>
    <x v="3"/>
    <x v="33"/>
    <x v="0"/>
    <x v="5"/>
    <x v="0"/>
  </r>
  <r>
    <s v="ORD00916"/>
    <s v="2024-09-13"/>
    <s v="Arjun Mehta"/>
    <x v="2"/>
    <s v="Ahmedabad"/>
    <x v="3"/>
    <s v="Smartwatches"/>
    <x v="20"/>
    <x v="5"/>
    <n v="2"/>
    <n v="16003.38"/>
    <n v="20"/>
    <n v="32006.76"/>
    <n v="27147.79"/>
    <n v="4858.97"/>
    <x v="1"/>
    <x v="27"/>
    <x v="0"/>
    <x v="0"/>
    <x v="0"/>
  </r>
  <r>
    <s v="ORD00917"/>
    <s v="2024-05-19"/>
    <s v="Rahul Sharma"/>
    <x v="3"/>
    <s v="Bengaluru"/>
    <x v="1"/>
    <s v="General"/>
    <x v="1"/>
    <x v="1"/>
    <n v="1"/>
    <n v="35139.53"/>
    <n v="20"/>
    <n v="35139.53"/>
    <n v="23380.38"/>
    <n v="11759.15"/>
    <x v="2"/>
    <x v="36"/>
    <x v="0"/>
    <x v="2"/>
    <x v="0"/>
  </r>
  <r>
    <s v="ORD00918"/>
    <s v="2024-04-10"/>
    <s v="Sneha Iyer"/>
    <x v="0"/>
    <s v="New Delhi"/>
    <x v="0"/>
    <s v="Fiction"/>
    <x v="21"/>
    <x v="0"/>
    <n v="4"/>
    <n v="13640.1"/>
    <n v="5"/>
    <n v="54560.4"/>
    <n v="40647.550000000003"/>
    <n v="13912.85"/>
    <x v="2"/>
    <x v="26"/>
    <x v="0"/>
    <x v="9"/>
    <x v="0"/>
  </r>
  <r>
    <s v="ORD00919"/>
    <s v="2025-02-04"/>
    <s v="Sneha Iyer"/>
    <x v="3"/>
    <s v="Bengaluru"/>
    <x v="4"/>
    <s v="Storage"/>
    <x v="4"/>
    <x v="4"/>
    <n v="2"/>
    <n v="5535.76"/>
    <n v="25"/>
    <n v="11071.52"/>
    <n v="8001.2"/>
    <n v="3070.32"/>
    <x v="1"/>
    <x v="22"/>
    <x v="0"/>
    <x v="8"/>
    <x v="1"/>
  </r>
  <r>
    <s v="ORD00920"/>
    <s v="2024-10-17"/>
    <s v="Sneha Iyer"/>
    <x v="4"/>
    <s v="Pune"/>
    <x v="4"/>
    <s v="Storage"/>
    <x v="5"/>
    <x v="9"/>
    <n v="4"/>
    <n v="1039.1099999999999"/>
    <n v="20"/>
    <n v="4156.4399999999996"/>
    <n v="3211.33"/>
    <n v="945.11"/>
    <x v="4"/>
    <x v="28"/>
    <x v="0"/>
    <x v="4"/>
    <x v="0"/>
  </r>
  <r>
    <s v="ORD00921"/>
    <s v="2024-12-15"/>
    <s v="Anjali Gupta"/>
    <x v="0"/>
    <s v="New Delhi"/>
    <x v="4"/>
    <s v="Cookware"/>
    <x v="7"/>
    <x v="10"/>
    <n v="5"/>
    <n v="41169.65"/>
    <n v="30"/>
    <n v="205848.25"/>
    <n v="138959.84"/>
    <n v="66888.41"/>
    <x v="4"/>
    <x v="29"/>
    <x v="0"/>
    <x v="1"/>
    <x v="0"/>
  </r>
  <r>
    <s v="ORD00922"/>
    <s v="2024-09-08"/>
    <s v="Karan Shah"/>
    <x v="7"/>
    <s v="Chennai"/>
    <x v="3"/>
    <s v="Smartphones"/>
    <x v="18"/>
    <x v="13"/>
    <n v="2"/>
    <n v="21472.14"/>
    <n v="30"/>
    <n v="42944.28"/>
    <n v="32631.8"/>
    <n v="10312.48"/>
    <x v="0"/>
    <x v="20"/>
    <x v="0"/>
    <x v="0"/>
    <x v="0"/>
  </r>
  <r>
    <s v="ORD00923"/>
    <s v="2024-12-10"/>
    <s v="Anjali Gupta"/>
    <x v="1"/>
    <s v="Kolkata"/>
    <x v="0"/>
    <s v="Educational"/>
    <x v="13"/>
    <x v="0"/>
    <n v="5"/>
    <n v="7936.7"/>
    <n v="30"/>
    <n v="39683.5"/>
    <n v="32432.71"/>
    <n v="7250.79"/>
    <x v="0"/>
    <x v="4"/>
    <x v="0"/>
    <x v="1"/>
    <x v="0"/>
  </r>
  <r>
    <s v="ORD00924"/>
    <s v="2024-12-10"/>
    <s v="Karan Shah"/>
    <x v="2"/>
    <s v="Surat"/>
    <x v="1"/>
    <s v="General"/>
    <x v="8"/>
    <x v="1"/>
    <n v="3"/>
    <n v="23939.919999999998"/>
    <n v="5"/>
    <n v="71819.759999999995"/>
    <n v="55257.54"/>
    <n v="16562.22"/>
    <x v="5"/>
    <x v="37"/>
    <x v="0"/>
    <x v="1"/>
    <x v="0"/>
  </r>
  <r>
    <s v="ORD00925"/>
    <s v="2024-09-09"/>
    <s v="Pooja Nair"/>
    <x v="7"/>
    <s v="Coimbatore"/>
    <x v="1"/>
    <s v="General"/>
    <x v="1"/>
    <x v="1"/>
    <n v="5"/>
    <n v="47480.71"/>
    <n v="15"/>
    <n v="237403.55"/>
    <n v="171356.02"/>
    <n v="66047.53"/>
    <x v="1"/>
    <x v="4"/>
    <x v="0"/>
    <x v="0"/>
    <x v="0"/>
  </r>
  <r>
    <s v="ORD00926"/>
    <s v="2024-11-28"/>
    <s v="Rohit Verma"/>
    <x v="3"/>
    <s v="Mysuru"/>
    <x v="4"/>
    <s v="Cookware"/>
    <x v="23"/>
    <x v="10"/>
    <n v="3"/>
    <n v="8058.4"/>
    <n v="10"/>
    <n v="24175.200000000001"/>
    <n v="19341.5"/>
    <n v="4833.7"/>
    <x v="5"/>
    <x v="36"/>
    <x v="0"/>
    <x v="3"/>
    <x v="0"/>
  </r>
  <r>
    <s v="ORD00927"/>
    <s v="2025-01-27"/>
    <s v="Arjun Mehta"/>
    <x v="5"/>
    <s v="Hyderabad"/>
    <x v="2"/>
    <s v="Skincare"/>
    <x v="19"/>
    <x v="6"/>
    <n v="2"/>
    <n v="32369.52"/>
    <n v="30"/>
    <n v="64739.040000000001"/>
    <n v="45896.6"/>
    <n v="18842.439999999999"/>
    <x v="0"/>
    <x v="29"/>
    <x v="0"/>
    <x v="6"/>
    <x v="1"/>
  </r>
  <r>
    <s v="ORD00928"/>
    <s v="2024-05-06"/>
    <s v="Rohit Verma"/>
    <x v="5"/>
    <s v="Hyderabad"/>
    <x v="1"/>
    <s v="General"/>
    <x v="1"/>
    <x v="1"/>
    <n v="4"/>
    <n v="29604.77"/>
    <n v="10"/>
    <n v="118419.08"/>
    <n v="81293.320000000007"/>
    <n v="37125.760000000002"/>
    <x v="2"/>
    <x v="13"/>
    <x v="0"/>
    <x v="2"/>
    <x v="0"/>
  </r>
  <r>
    <s v="ORD00929"/>
    <s v="2024-06-07"/>
    <s v="Priya Patel"/>
    <x v="7"/>
    <s v="Chennai"/>
    <x v="1"/>
    <s v="General"/>
    <x v="8"/>
    <x v="1"/>
    <n v="2"/>
    <n v="19927.72"/>
    <n v="10"/>
    <n v="39855.440000000002"/>
    <n v="27357.48"/>
    <n v="12497.96"/>
    <x v="4"/>
    <x v="13"/>
    <x v="0"/>
    <x v="10"/>
    <x v="0"/>
  </r>
  <r>
    <s v="ORD00930"/>
    <s v="2024-10-29"/>
    <s v="Anjali Gupta"/>
    <x v="2"/>
    <s v="Ahmedabad"/>
    <x v="0"/>
    <s v="Fiction"/>
    <x v="13"/>
    <x v="0"/>
    <n v="1"/>
    <n v="42170.48"/>
    <n v="20"/>
    <n v="42170.48"/>
    <n v="35312.410000000003"/>
    <n v="6858.07"/>
    <x v="1"/>
    <x v="2"/>
    <x v="0"/>
    <x v="4"/>
    <x v="0"/>
  </r>
  <r>
    <s v="ORD00931"/>
    <s v="2024-12-06"/>
    <s v="Arjun Mehta"/>
    <x v="3"/>
    <s v="Bengaluru"/>
    <x v="1"/>
    <s v="General"/>
    <x v="24"/>
    <x v="1"/>
    <n v="5"/>
    <n v="15950.41"/>
    <n v="25"/>
    <n v="79752.05"/>
    <n v="65972.350000000006"/>
    <n v="13779.7"/>
    <x v="3"/>
    <x v="39"/>
    <x v="0"/>
    <x v="1"/>
    <x v="0"/>
  </r>
  <r>
    <s v="ORD00932"/>
    <s v="2024-03-21"/>
    <s v="Anjali Gupta"/>
    <x v="6"/>
    <s v="Noida"/>
    <x v="0"/>
    <s v="Educational"/>
    <x v="21"/>
    <x v="0"/>
    <n v="4"/>
    <n v="791.45"/>
    <n v="5"/>
    <n v="3165.8"/>
    <n v="2665.51"/>
    <n v="500.29"/>
    <x v="4"/>
    <x v="12"/>
    <x v="1"/>
    <x v="7"/>
    <x v="0"/>
  </r>
  <r>
    <s v="ORD00933"/>
    <s v="2024-08-15"/>
    <s v="Amit Kumar"/>
    <x v="6"/>
    <s v="Lucknow"/>
    <x v="1"/>
    <s v="General"/>
    <x v="1"/>
    <x v="1"/>
    <n v="3"/>
    <n v="28534.99"/>
    <n v="5"/>
    <n v="85604.97"/>
    <n v="61098.37"/>
    <n v="24506.6"/>
    <x v="5"/>
    <x v="31"/>
    <x v="0"/>
    <x v="11"/>
    <x v="0"/>
  </r>
  <r>
    <s v="ORD00934"/>
    <s v="2024-06-06"/>
    <s v="Sneha Iyer"/>
    <x v="2"/>
    <s v="Surat"/>
    <x v="4"/>
    <s v="Storage"/>
    <x v="5"/>
    <x v="10"/>
    <n v="4"/>
    <n v="13371.43"/>
    <n v="30"/>
    <n v="53485.72"/>
    <n v="45051.34"/>
    <n v="8434.3799999999992"/>
    <x v="5"/>
    <x v="12"/>
    <x v="1"/>
    <x v="10"/>
    <x v="0"/>
  </r>
  <r>
    <s v="ORD00935"/>
    <s v="2024-10-03"/>
    <s v="Neha Singh"/>
    <x v="7"/>
    <s v="Coimbatore"/>
    <x v="3"/>
    <s v="Headphones"/>
    <x v="18"/>
    <x v="3"/>
    <n v="4"/>
    <n v="48073.8"/>
    <n v="10"/>
    <n v="192295.2"/>
    <n v="134354.41"/>
    <n v="57940.79"/>
    <x v="4"/>
    <x v="27"/>
    <x v="0"/>
    <x v="4"/>
    <x v="0"/>
  </r>
  <r>
    <s v="ORD00936"/>
    <s v="2024-06-14"/>
    <s v="Pooja Nair"/>
    <x v="3"/>
    <s v="Mysuru"/>
    <x v="0"/>
    <s v="Educational"/>
    <x v="21"/>
    <x v="7"/>
    <n v="5"/>
    <n v="15240.16"/>
    <n v="5"/>
    <n v="76200.800000000003"/>
    <n v="61901.83"/>
    <n v="14298.97"/>
    <x v="5"/>
    <x v="22"/>
    <x v="0"/>
    <x v="10"/>
    <x v="0"/>
  </r>
  <r>
    <s v="ORD00937"/>
    <s v="2024-03-11"/>
    <s v="Sneha Iyer"/>
    <x v="3"/>
    <s v="Mysuru"/>
    <x v="0"/>
    <s v="Educational"/>
    <x v="13"/>
    <x v="7"/>
    <n v="5"/>
    <n v="11216.38"/>
    <n v="20"/>
    <n v="56081.9"/>
    <n v="37068.620000000003"/>
    <n v="19013.28"/>
    <x v="3"/>
    <x v="18"/>
    <x v="0"/>
    <x v="7"/>
    <x v="0"/>
  </r>
  <r>
    <s v="ORD00938"/>
    <s v="2024-04-12"/>
    <s v="Rohit Verma"/>
    <x v="6"/>
    <s v="Noida"/>
    <x v="0"/>
    <s v="Fiction"/>
    <x v="21"/>
    <x v="0"/>
    <n v="3"/>
    <n v="540.63"/>
    <n v="15"/>
    <n v="1621.89"/>
    <n v="1126.98"/>
    <n v="494.91"/>
    <x v="3"/>
    <x v="0"/>
    <x v="1"/>
    <x v="9"/>
    <x v="0"/>
  </r>
  <r>
    <s v="ORD00939"/>
    <s v="2024-05-08"/>
    <s v="Arjun Mehta"/>
    <x v="3"/>
    <s v="Mysuru"/>
    <x v="3"/>
    <s v="Smartwatches"/>
    <x v="3"/>
    <x v="13"/>
    <n v="3"/>
    <n v="19845.72"/>
    <n v="15"/>
    <n v="59537.16"/>
    <n v="50363.41"/>
    <n v="9173.75"/>
    <x v="3"/>
    <x v="9"/>
    <x v="0"/>
    <x v="2"/>
    <x v="0"/>
  </r>
  <r>
    <s v="ORD00940"/>
    <s v="2024-08-16"/>
    <s v="Priya Patel"/>
    <x v="3"/>
    <s v="Mysuru"/>
    <x v="1"/>
    <s v="General"/>
    <x v="8"/>
    <x v="1"/>
    <n v="1"/>
    <n v="31486.57"/>
    <n v="15"/>
    <n v="31486.57"/>
    <n v="24391.16"/>
    <n v="7095.41"/>
    <x v="2"/>
    <x v="32"/>
    <x v="0"/>
    <x v="11"/>
    <x v="0"/>
  </r>
  <r>
    <s v="ORD00941"/>
    <s v="2024-07-10"/>
    <s v="Rohit Verma"/>
    <x v="4"/>
    <s v="Pune"/>
    <x v="3"/>
    <s v="Laptops"/>
    <x v="3"/>
    <x v="12"/>
    <n v="2"/>
    <n v="47899.72"/>
    <n v="30"/>
    <n v="95799.44"/>
    <n v="65510.48"/>
    <n v="30288.959999999999"/>
    <x v="3"/>
    <x v="9"/>
    <x v="0"/>
    <x v="5"/>
    <x v="0"/>
  </r>
  <r>
    <s v="ORD00942"/>
    <s v="2025-01-17"/>
    <s v="Amit Kumar"/>
    <x v="1"/>
    <s v="Kolkata"/>
    <x v="0"/>
    <s v="Fiction"/>
    <x v="0"/>
    <x v="7"/>
    <n v="5"/>
    <n v="39842.15"/>
    <n v="10"/>
    <n v="199210.75"/>
    <n v="148552.84"/>
    <n v="50657.91"/>
    <x v="0"/>
    <x v="38"/>
    <x v="0"/>
    <x v="6"/>
    <x v="1"/>
  </r>
  <r>
    <s v="ORD00943"/>
    <s v="2024-03-01"/>
    <s v="Priya Patel"/>
    <x v="3"/>
    <s v="Mysuru"/>
    <x v="1"/>
    <s v="General"/>
    <x v="6"/>
    <x v="1"/>
    <n v="2"/>
    <n v="46101.14"/>
    <n v="10"/>
    <n v="92202.28"/>
    <n v="65666.880000000005"/>
    <n v="26535.4"/>
    <x v="5"/>
    <x v="9"/>
    <x v="0"/>
    <x v="7"/>
    <x v="0"/>
  </r>
  <r>
    <s v="ORD00944"/>
    <s v="2024-05-08"/>
    <s v="Amit Kumar"/>
    <x v="3"/>
    <s v="Mysuru"/>
    <x v="0"/>
    <s v="Educational"/>
    <x v="21"/>
    <x v="7"/>
    <n v="5"/>
    <n v="46563.35"/>
    <n v="25"/>
    <n v="232816.75"/>
    <n v="193257.62"/>
    <n v="39559.129999999997"/>
    <x v="0"/>
    <x v="12"/>
    <x v="0"/>
    <x v="2"/>
    <x v="0"/>
  </r>
  <r>
    <s v="ORD00945"/>
    <s v="2024-02-17"/>
    <s v="Sneha Iyer"/>
    <x v="1"/>
    <s v="Kolkata"/>
    <x v="3"/>
    <s v="Smartwatches"/>
    <x v="9"/>
    <x v="12"/>
    <n v="4"/>
    <n v="35922.639999999999"/>
    <n v="25"/>
    <n v="143690.56"/>
    <n v="97909.43"/>
    <n v="45781.13"/>
    <x v="1"/>
    <x v="4"/>
    <x v="0"/>
    <x v="8"/>
    <x v="0"/>
  </r>
  <r>
    <s v="ORD00946"/>
    <s v="2025-01-13"/>
    <s v="Anjali Gupta"/>
    <x v="5"/>
    <s v="Hyderabad"/>
    <x v="3"/>
    <s v="Headphones"/>
    <x v="18"/>
    <x v="14"/>
    <n v="1"/>
    <n v="33745.33"/>
    <n v="10"/>
    <n v="33745.33"/>
    <n v="22906.09"/>
    <n v="10839.24"/>
    <x v="3"/>
    <x v="29"/>
    <x v="0"/>
    <x v="6"/>
    <x v="1"/>
  </r>
  <r>
    <s v="ORD00947"/>
    <s v="2024-06-20"/>
    <s v="Rohit Verma"/>
    <x v="2"/>
    <s v="Surat"/>
    <x v="1"/>
    <s v="General"/>
    <x v="24"/>
    <x v="1"/>
    <n v="5"/>
    <n v="22870.53"/>
    <n v="25"/>
    <n v="114352.65"/>
    <n v="82406"/>
    <n v="31946.65"/>
    <x v="3"/>
    <x v="23"/>
    <x v="0"/>
    <x v="10"/>
    <x v="0"/>
  </r>
  <r>
    <s v="ORD00948"/>
    <s v="2024-04-12"/>
    <s v="Anjali Gupta"/>
    <x v="1"/>
    <s v="Kolkata"/>
    <x v="4"/>
    <s v="Storage"/>
    <x v="23"/>
    <x v="4"/>
    <n v="2"/>
    <n v="29715.31"/>
    <n v="10"/>
    <n v="59430.62"/>
    <n v="44934.879999999997"/>
    <n v="14495.74"/>
    <x v="3"/>
    <x v="0"/>
    <x v="0"/>
    <x v="9"/>
    <x v="0"/>
  </r>
  <r>
    <s v="ORD00949"/>
    <s v="2024-05-31"/>
    <s v="Rohit Verma"/>
    <x v="5"/>
    <s v="Hyderabad"/>
    <x v="1"/>
    <s v="General"/>
    <x v="1"/>
    <x v="1"/>
    <n v="4"/>
    <n v="15543.65"/>
    <n v="20"/>
    <n v="62174.6"/>
    <n v="43198.3"/>
    <n v="18976.3"/>
    <x v="4"/>
    <x v="29"/>
    <x v="0"/>
    <x v="2"/>
    <x v="0"/>
  </r>
  <r>
    <s v="ORD00950"/>
    <s v="2024-06-02"/>
    <s v="Arjun Mehta"/>
    <x v="4"/>
    <s v="Nagpur"/>
    <x v="3"/>
    <s v="Headphones"/>
    <x v="12"/>
    <x v="14"/>
    <n v="2"/>
    <n v="8234.32"/>
    <n v="10"/>
    <n v="16468.64"/>
    <n v="12143.79"/>
    <n v="4324.8500000000004"/>
    <x v="0"/>
    <x v="30"/>
    <x v="0"/>
    <x v="10"/>
    <x v="0"/>
  </r>
  <r>
    <s v="ORD00951"/>
    <s v="2024-11-21"/>
    <s v="Neha Singh"/>
    <x v="5"/>
    <s v="Hyderabad"/>
    <x v="1"/>
    <s v="General"/>
    <x v="15"/>
    <x v="1"/>
    <n v="1"/>
    <n v="959.63"/>
    <n v="25"/>
    <n v="959.63"/>
    <n v="809.86"/>
    <n v="149.77000000000001"/>
    <x v="2"/>
    <x v="14"/>
    <x v="0"/>
    <x v="3"/>
    <x v="0"/>
  </r>
  <r>
    <s v="ORD00952"/>
    <s v="2024-03-30"/>
    <s v="Arjun Mehta"/>
    <x v="1"/>
    <s v="Kolkata"/>
    <x v="2"/>
    <s v="Makeup"/>
    <x v="2"/>
    <x v="11"/>
    <n v="5"/>
    <n v="34969.69"/>
    <n v="5"/>
    <n v="174848.45"/>
    <n v="115615.1"/>
    <n v="59233.35"/>
    <x v="5"/>
    <x v="9"/>
    <x v="0"/>
    <x v="7"/>
    <x v="0"/>
  </r>
  <r>
    <s v="ORD00953"/>
    <s v="2025-01-04"/>
    <s v="Priya Patel"/>
    <x v="3"/>
    <s v="Mysuru"/>
    <x v="3"/>
    <s v="Smartwatches"/>
    <x v="20"/>
    <x v="12"/>
    <n v="3"/>
    <n v="46553.58"/>
    <n v="15"/>
    <n v="139660.74"/>
    <n v="91146.41"/>
    <n v="48514.33"/>
    <x v="3"/>
    <x v="10"/>
    <x v="2"/>
    <x v="6"/>
    <x v="1"/>
  </r>
  <r>
    <s v="ORD00954"/>
    <s v="2024-05-29"/>
    <s v="Rahul Sharma"/>
    <x v="6"/>
    <s v="Noida"/>
    <x v="2"/>
    <s v="Makeup"/>
    <x v="2"/>
    <x v="11"/>
    <n v="1"/>
    <n v="33472.93"/>
    <n v="30"/>
    <n v="33472.93"/>
    <n v="25478.21"/>
    <n v="7994.72"/>
    <x v="4"/>
    <x v="20"/>
    <x v="1"/>
    <x v="2"/>
    <x v="0"/>
  </r>
  <r>
    <s v="ORD00955"/>
    <s v="2024-03-08"/>
    <s v="Amit Kumar"/>
    <x v="7"/>
    <s v="Chennai"/>
    <x v="3"/>
    <s v="Laptops"/>
    <x v="12"/>
    <x v="14"/>
    <n v="2"/>
    <n v="29781.11"/>
    <n v="20"/>
    <n v="59562.22"/>
    <n v="48384.26"/>
    <n v="11177.96"/>
    <x v="0"/>
    <x v="22"/>
    <x v="0"/>
    <x v="7"/>
    <x v="0"/>
  </r>
  <r>
    <s v="ORD00956"/>
    <s v="2024-07-14"/>
    <s v="Karan Shah"/>
    <x v="5"/>
    <s v="Hyderabad"/>
    <x v="4"/>
    <s v="Storage"/>
    <x v="4"/>
    <x v="9"/>
    <n v="3"/>
    <n v="30564.98"/>
    <n v="5"/>
    <n v="91694.94"/>
    <n v="65974.570000000007"/>
    <n v="25720.37"/>
    <x v="0"/>
    <x v="28"/>
    <x v="1"/>
    <x v="5"/>
    <x v="0"/>
  </r>
  <r>
    <s v="ORD00957"/>
    <s v="2024-05-26"/>
    <s v="Pooja Nair"/>
    <x v="2"/>
    <s v="Ahmedabad"/>
    <x v="1"/>
    <s v="General"/>
    <x v="6"/>
    <x v="1"/>
    <n v="2"/>
    <n v="42407.519999999997"/>
    <n v="20"/>
    <n v="84815.039999999994"/>
    <n v="57877.39"/>
    <n v="26937.65"/>
    <x v="0"/>
    <x v="25"/>
    <x v="1"/>
    <x v="2"/>
    <x v="0"/>
  </r>
  <r>
    <s v="ORD00958"/>
    <s v="2024-09-23"/>
    <s v="Anjali Gupta"/>
    <x v="1"/>
    <s v="Kolkata"/>
    <x v="0"/>
    <s v="Fiction"/>
    <x v="21"/>
    <x v="0"/>
    <n v="1"/>
    <n v="10435.030000000001"/>
    <n v="25"/>
    <n v="10435.030000000001"/>
    <n v="6962.14"/>
    <n v="3472.89"/>
    <x v="0"/>
    <x v="4"/>
    <x v="0"/>
    <x v="0"/>
    <x v="0"/>
  </r>
  <r>
    <s v="ORD00959"/>
    <s v="2024-08-27"/>
    <s v="Neha Singh"/>
    <x v="4"/>
    <s v="Nagpur"/>
    <x v="3"/>
    <s v="Laptops"/>
    <x v="20"/>
    <x v="13"/>
    <n v="3"/>
    <n v="35278.46"/>
    <n v="10"/>
    <n v="105835.38"/>
    <n v="86329.33"/>
    <n v="19506.05"/>
    <x v="3"/>
    <x v="12"/>
    <x v="0"/>
    <x v="11"/>
    <x v="0"/>
  </r>
  <r>
    <s v="ORD00960"/>
    <s v="2024-09-26"/>
    <s v="Rahul Sharma"/>
    <x v="7"/>
    <s v="Chennai"/>
    <x v="3"/>
    <s v="Headphones"/>
    <x v="12"/>
    <x v="3"/>
    <n v="3"/>
    <n v="34844.54"/>
    <n v="15"/>
    <n v="104533.62"/>
    <n v="76927.399999999994"/>
    <n v="27606.22"/>
    <x v="4"/>
    <x v="38"/>
    <x v="0"/>
    <x v="0"/>
    <x v="0"/>
  </r>
  <r>
    <s v="ORD00961"/>
    <s v="2025-01-25"/>
    <s v="Neha Singh"/>
    <x v="6"/>
    <s v="Lucknow"/>
    <x v="0"/>
    <s v="Fiction"/>
    <x v="13"/>
    <x v="7"/>
    <n v="5"/>
    <n v="31159.759999999998"/>
    <n v="15"/>
    <n v="155798.79999999999"/>
    <n v="117730.08"/>
    <n v="38068.720000000001"/>
    <x v="2"/>
    <x v="19"/>
    <x v="0"/>
    <x v="6"/>
    <x v="1"/>
  </r>
  <r>
    <s v="ORD00962"/>
    <s v="2024-09-11"/>
    <s v="Anjali Gupta"/>
    <x v="2"/>
    <s v="Ahmedabad"/>
    <x v="1"/>
    <s v="General"/>
    <x v="24"/>
    <x v="1"/>
    <n v="4"/>
    <n v="27369.17"/>
    <n v="10"/>
    <n v="109476.68"/>
    <n v="91403.31"/>
    <n v="18073.37"/>
    <x v="1"/>
    <x v="0"/>
    <x v="0"/>
    <x v="0"/>
    <x v="0"/>
  </r>
  <r>
    <s v="ORD00963"/>
    <s v="2024-06-16"/>
    <s v="Rohit Verma"/>
    <x v="7"/>
    <s v="Chennai"/>
    <x v="2"/>
    <s v="Skincare"/>
    <x v="11"/>
    <x v="11"/>
    <n v="1"/>
    <n v="47055.28"/>
    <n v="5"/>
    <n v="47055.28"/>
    <n v="38736.43"/>
    <n v="8318.85"/>
    <x v="4"/>
    <x v="32"/>
    <x v="0"/>
    <x v="10"/>
    <x v="0"/>
  </r>
  <r>
    <s v="ORD00964"/>
    <s v="2024-08-06"/>
    <s v="Pooja Nair"/>
    <x v="7"/>
    <s v="Coimbatore"/>
    <x v="3"/>
    <s v="Smartphones"/>
    <x v="18"/>
    <x v="8"/>
    <n v="4"/>
    <n v="30706.15"/>
    <n v="10"/>
    <n v="122824.6"/>
    <n v="91550.85"/>
    <n v="31273.75"/>
    <x v="1"/>
    <x v="36"/>
    <x v="0"/>
    <x v="11"/>
    <x v="0"/>
  </r>
  <r>
    <s v="ORD00965"/>
    <s v="2024-12-08"/>
    <s v="Neha Singh"/>
    <x v="0"/>
    <s v="New Delhi"/>
    <x v="2"/>
    <s v="Skincare"/>
    <x v="17"/>
    <x v="2"/>
    <n v="4"/>
    <n v="659.73"/>
    <n v="30"/>
    <n v="2638.92"/>
    <n v="1888.81"/>
    <n v="750.11"/>
    <x v="1"/>
    <x v="0"/>
    <x v="2"/>
    <x v="1"/>
    <x v="0"/>
  </r>
  <r>
    <s v="ORD00966"/>
    <s v="2024-06-28"/>
    <s v="Priya Patel"/>
    <x v="1"/>
    <s v="Kolkata"/>
    <x v="2"/>
    <s v="Skincare"/>
    <x v="10"/>
    <x v="11"/>
    <n v="4"/>
    <n v="14341.13"/>
    <n v="5"/>
    <n v="57364.52"/>
    <n v="42803.06"/>
    <n v="14561.46"/>
    <x v="4"/>
    <x v="39"/>
    <x v="0"/>
    <x v="10"/>
    <x v="0"/>
  </r>
  <r>
    <s v="ORD00967"/>
    <s v="2024-12-10"/>
    <s v="Neha Singh"/>
    <x v="1"/>
    <s v="Kolkata"/>
    <x v="0"/>
    <s v="Educational"/>
    <x v="0"/>
    <x v="7"/>
    <n v="4"/>
    <n v="22923.93"/>
    <n v="20"/>
    <n v="91695.72"/>
    <n v="72269.460000000006"/>
    <n v="19426.259999999998"/>
    <x v="3"/>
    <x v="29"/>
    <x v="0"/>
    <x v="1"/>
    <x v="0"/>
  </r>
  <r>
    <s v="ORD00968"/>
    <s v="2024-04-23"/>
    <s v="Anjali Gupta"/>
    <x v="0"/>
    <s v="New Delhi"/>
    <x v="4"/>
    <s v="Cookware"/>
    <x v="7"/>
    <x v="9"/>
    <n v="2"/>
    <n v="20766.47"/>
    <n v="10"/>
    <n v="41532.94"/>
    <n v="34673.769999999997"/>
    <n v="6859.17"/>
    <x v="3"/>
    <x v="31"/>
    <x v="0"/>
    <x v="9"/>
    <x v="0"/>
  </r>
  <r>
    <s v="ORD00969"/>
    <s v="2024-04-10"/>
    <s v="Rahul Sharma"/>
    <x v="4"/>
    <s v="Nagpur"/>
    <x v="3"/>
    <s v="Smartphones"/>
    <x v="18"/>
    <x v="8"/>
    <n v="5"/>
    <n v="36615.730000000003"/>
    <n v="30"/>
    <n v="183078.65"/>
    <n v="137651.34"/>
    <n v="45427.31"/>
    <x v="5"/>
    <x v="6"/>
    <x v="0"/>
    <x v="9"/>
    <x v="0"/>
  </r>
  <r>
    <s v="ORD00970"/>
    <s v="2024-09-07"/>
    <s v="Arjun Mehta"/>
    <x v="2"/>
    <s v="Ahmedabad"/>
    <x v="1"/>
    <s v="General"/>
    <x v="15"/>
    <x v="1"/>
    <n v="4"/>
    <n v="879.25"/>
    <n v="20"/>
    <n v="3517"/>
    <n v="2394.89"/>
    <n v="1122.1099999999999"/>
    <x v="2"/>
    <x v="35"/>
    <x v="0"/>
    <x v="0"/>
    <x v="0"/>
  </r>
  <r>
    <s v="ORD00971"/>
    <s v="2025-01-12"/>
    <s v="Priya Patel"/>
    <x v="6"/>
    <s v="Lucknow"/>
    <x v="4"/>
    <s v="Storage"/>
    <x v="16"/>
    <x v="10"/>
    <n v="4"/>
    <n v="8571.5499999999993"/>
    <n v="10"/>
    <n v="34286.199999999997"/>
    <n v="23333.9"/>
    <n v="10952.3"/>
    <x v="2"/>
    <x v="1"/>
    <x v="0"/>
    <x v="6"/>
    <x v="1"/>
  </r>
  <r>
    <s v="ORD00972"/>
    <s v="2025-01-19"/>
    <s v="Sneha Iyer"/>
    <x v="7"/>
    <s v="Coimbatore"/>
    <x v="3"/>
    <s v="Smartwatches"/>
    <x v="20"/>
    <x v="5"/>
    <n v="5"/>
    <n v="23125.33"/>
    <n v="5"/>
    <n v="115626.65"/>
    <n v="77929.600000000006"/>
    <n v="37697.050000000003"/>
    <x v="0"/>
    <x v="13"/>
    <x v="0"/>
    <x v="6"/>
    <x v="1"/>
  </r>
  <r>
    <s v="ORD00973"/>
    <s v="2024-09-11"/>
    <s v="Karan Shah"/>
    <x v="7"/>
    <s v="Coimbatore"/>
    <x v="0"/>
    <s v="Educational"/>
    <x v="0"/>
    <x v="0"/>
    <n v="3"/>
    <n v="5712.21"/>
    <n v="15"/>
    <n v="17136.63"/>
    <n v="11780.62"/>
    <n v="5356.01"/>
    <x v="1"/>
    <x v="22"/>
    <x v="0"/>
    <x v="0"/>
    <x v="0"/>
  </r>
  <r>
    <s v="ORD00974"/>
    <s v="2024-03-24"/>
    <s v="Pooja Nair"/>
    <x v="0"/>
    <s v="New Delhi"/>
    <x v="1"/>
    <s v="General"/>
    <x v="15"/>
    <x v="1"/>
    <n v="2"/>
    <n v="1434.23"/>
    <n v="30"/>
    <n v="2868.46"/>
    <n v="2409.3200000000002"/>
    <n v="459.14"/>
    <x v="1"/>
    <x v="0"/>
    <x v="0"/>
    <x v="7"/>
    <x v="0"/>
  </r>
  <r>
    <s v="ORD00975"/>
    <s v="2024-12-09"/>
    <s v="Karan Shah"/>
    <x v="3"/>
    <s v="Mysuru"/>
    <x v="0"/>
    <s v="Fiction"/>
    <x v="21"/>
    <x v="0"/>
    <n v="2"/>
    <n v="43163.16"/>
    <n v="30"/>
    <n v="86326.32"/>
    <n v="69186.570000000007"/>
    <n v="17139.75"/>
    <x v="0"/>
    <x v="30"/>
    <x v="0"/>
    <x v="1"/>
    <x v="0"/>
  </r>
  <r>
    <s v="ORD00976"/>
    <s v="2024-09-06"/>
    <s v="Sneha Iyer"/>
    <x v="0"/>
    <s v="New Delhi"/>
    <x v="4"/>
    <s v="Cookware"/>
    <x v="23"/>
    <x v="4"/>
    <n v="1"/>
    <n v="38545.29"/>
    <n v="10"/>
    <n v="38545.29"/>
    <n v="29265.34"/>
    <n v="9279.9500000000007"/>
    <x v="2"/>
    <x v="11"/>
    <x v="0"/>
    <x v="0"/>
    <x v="0"/>
  </r>
  <r>
    <s v="ORD00977"/>
    <s v="2024-08-15"/>
    <s v="Neha Singh"/>
    <x v="3"/>
    <s v="Bengaluru"/>
    <x v="2"/>
    <s v="Skincare"/>
    <x v="11"/>
    <x v="6"/>
    <n v="2"/>
    <n v="8188.18"/>
    <n v="30"/>
    <n v="16376.36"/>
    <n v="12528.68"/>
    <n v="3847.68"/>
    <x v="2"/>
    <x v="11"/>
    <x v="0"/>
    <x v="11"/>
    <x v="0"/>
  </r>
  <r>
    <s v="ORD00978"/>
    <s v="2024-12-27"/>
    <s v="Neha Singh"/>
    <x v="4"/>
    <s v="Mumbai"/>
    <x v="4"/>
    <s v="Storage"/>
    <x v="7"/>
    <x v="10"/>
    <n v="4"/>
    <n v="35763.480000000003"/>
    <n v="10"/>
    <n v="143053.92000000001"/>
    <n v="108191.48"/>
    <n v="34862.44"/>
    <x v="1"/>
    <x v="13"/>
    <x v="0"/>
    <x v="1"/>
    <x v="0"/>
  </r>
  <r>
    <s v="ORD00979"/>
    <s v="2024-08-01"/>
    <s v="Amit Kumar"/>
    <x v="5"/>
    <s v="Hyderabad"/>
    <x v="4"/>
    <s v="Cookware"/>
    <x v="4"/>
    <x v="9"/>
    <n v="2"/>
    <n v="10818.91"/>
    <n v="5"/>
    <n v="21637.82"/>
    <n v="14871.67"/>
    <n v="6766.15"/>
    <x v="2"/>
    <x v="31"/>
    <x v="0"/>
    <x v="11"/>
    <x v="0"/>
  </r>
  <r>
    <s v="ORD00980"/>
    <s v="2024-02-28"/>
    <s v="Anjali Gupta"/>
    <x v="7"/>
    <s v="Chennai"/>
    <x v="2"/>
    <s v="Skincare"/>
    <x v="10"/>
    <x v="6"/>
    <n v="5"/>
    <n v="35506.410000000003"/>
    <n v="5"/>
    <n v="177532.05"/>
    <n v="144519.37"/>
    <n v="33012.68"/>
    <x v="2"/>
    <x v="12"/>
    <x v="0"/>
    <x v="8"/>
    <x v="0"/>
  </r>
  <r>
    <s v="ORD00981"/>
    <s v="2024-07-28"/>
    <s v="Arjun Mehta"/>
    <x v="6"/>
    <s v="Lucknow"/>
    <x v="3"/>
    <s v="Laptops"/>
    <x v="9"/>
    <x v="13"/>
    <n v="5"/>
    <n v="19010.38"/>
    <n v="15"/>
    <n v="95051.9"/>
    <n v="78246.25"/>
    <n v="16805.650000000001"/>
    <x v="2"/>
    <x v="39"/>
    <x v="0"/>
    <x v="5"/>
    <x v="0"/>
  </r>
  <r>
    <s v="ORD00982"/>
    <s v="2024-10-25"/>
    <s v="Rohit Verma"/>
    <x v="7"/>
    <s v="Chennai"/>
    <x v="0"/>
    <s v="Fiction"/>
    <x v="21"/>
    <x v="0"/>
    <n v="3"/>
    <n v="29678.85"/>
    <n v="20"/>
    <n v="89036.55"/>
    <n v="69460.08"/>
    <n v="19576.47"/>
    <x v="1"/>
    <x v="36"/>
    <x v="0"/>
    <x v="4"/>
    <x v="0"/>
  </r>
  <r>
    <s v="ORD00983"/>
    <s v="2024-06-30"/>
    <s v="Priya Patel"/>
    <x v="7"/>
    <s v="Chennai"/>
    <x v="0"/>
    <s v="Educational"/>
    <x v="13"/>
    <x v="7"/>
    <n v="5"/>
    <n v="5412.9"/>
    <n v="5"/>
    <n v="27064.5"/>
    <n v="20799.169999999998"/>
    <n v="6265.33"/>
    <x v="3"/>
    <x v="37"/>
    <x v="0"/>
    <x v="10"/>
    <x v="0"/>
  </r>
  <r>
    <s v="ORD00984"/>
    <s v="2024-11-30"/>
    <s v="Priya Patel"/>
    <x v="3"/>
    <s v="Mysuru"/>
    <x v="1"/>
    <s v="General"/>
    <x v="1"/>
    <x v="1"/>
    <n v="3"/>
    <n v="22890.95"/>
    <n v="10"/>
    <n v="68672.850000000006"/>
    <n v="57046.07"/>
    <n v="11626.78"/>
    <x v="4"/>
    <x v="32"/>
    <x v="1"/>
    <x v="3"/>
    <x v="0"/>
  </r>
  <r>
    <s v="ORD00985"/>
    <s v="2025-01-27"/>
    <s v="Priya Patel"/>
    <x v="4"/>
    <s v="Nagpur"/>
    <x v="1"/>
    <s v="General"/>
    <x v="1"/>
    <x v="1"/>
    <n v="5"/>
    <n v="40905.69"/>
    <n v="30"/>
    <n v="204528.45"/>
    <n v="149921"/>
    <n v="54607.45"/>
    <x v="3"/>
    <x v="30"/>
    <x v="0"/>
    <x v="6"/>
    <x v="1"/>
  </r>
  <r>
    <s v="ORD00986"/>
    <s v="2024-11-24"/>
    <s v="Anjali Gupta"/>
    <x v="2"/>
    <s v="Surat"/>
    <x v="4"/>
    <s v="Cookware"/>
    <x v="16"/>
    <x v="4"/>
    <n v="3"/>
    <n v="17253.669999999998"/>
    <n v="5"/>
    <n v="51761.01"/>
    <n v="40989.449999999997"/>
    <n v="10771.56"/>
    <x v="0"/>
    <x v="33"/>
    <x v="0"/>
    <x v="3"/>
    <x v="0"/>
  </r>
  <r>
    <s v="ORD00987"/>
    <s v="2024-02-14"/>
    <s v="Karan Shah"/>
    <x v="1"/>
    <s v="Kolkata"/>
    <x v="0"/>
    <s v="Fiction"/>
    <x v="0"/>
    <x v="0"/>
    <n v="5"/>
    <n v="27920.2"/>
    <n v="30"/>
    <n v="139601"/>
    <n v="97531.72"/>
    <n v="42069.279999999999"/>
    <x v="2"/>
    <x v="29"/>
    <x v="0"/>
    <x v="8"/>
    <x v="0"/>
  </r>
  <r>
    <s v="ORD00988"/>
    <s v="2024-12-06"/>
    <s v="Amit Kumar"/>
    <x v="7"/>
    <s v="Chennai"/>
    <x v="1"/>
    <s v="General"/>
    <x v="8"/>
    <x v="1"/>
    <n v="5"/>
    <n v="46055.88"/>
    <n v="10"/>
    <n v="230279.4"/>
    <n v="195005.89"/>
    <n v="35273.51"/>
    <x v="3"/>
    <x v="24"/>
    <x v="0"/>
    <x v="1"/>
    <x v="0"/>
  </r>
  <r>
    <s v="ORD00989"/>
    <s v="2024-05-11"/>
    <s v="Rohit Verma"/>
    <x v="3"/>
    <s v="Bengaluru"/>
    <x v="3"/>
    <s v="Headphones"/>
    <x v="3"/>
    <x v="8"/>
    <n v="4"/>
    <n v="49569.3"/>
    <n v="25"/>
    <n v="198277.2"/>
    <n v="129745.48"/>
    <n v="68531.72"/>
    <x v="3"/>
    <x v="12"/>
    <x v="0"/>
    <x v="2"/>
    <x v="0"/>
  </r>
  <r>
    <s v="ORD00990"/>
    <s v="2024-10-30"/>
    <s v="Karan Shah"/>
    <x v="6"/>
    <s v="Lucknow"/>
    <x v="0"/>
    <s v="Educational"/>
    <x v="0"/>
    <x v="0"/>
    <n v="5"/>
    <n v="35948.160000000003"/>
    <n v="5"/>
    <n v="179740.79999999999"/>
    <n v="131778.93"/>
    <n v="47961.87"/>
    <x v="2"/>
    <x v="15"/>
    <x v="0"/>
    <x v="4"/>
    <x v="0"/>
  </r>
  <r>
    <s v="ORD00991"/>
    <s v="2024-07-28"/>
    <s v="Karan Shah"/>
    <x v="7"/>
    <s v="Chennai"/>
    <x v="0"/>
    <s v="Fiction"/>
    <x v="21"/>
    <x v="0"/>
    <n v="5"/>
    <n v="9189.91"/>
    <n v="5"/>
    <n v="45949.55"/>
    <n v="37568.93"/>
    <n v="8380.6200000000008"/>
    <x v="2"/>
    <x v="35"/>
    <x v="0"/>
    <x v="5"/>
    <x v="0"/>
  </r>
  <r>
    <s v="ORD00992"/>
    <s v="2024-03-06"/>
    <s v="Sneha Iyer"/>
    <x v="6"/>
    <s v="Lucknow"/>
    <x v="4"/>
    <s v="Storage"/>
    <x v="5"/>
    <x v="9"/>
    <n v="2"/>
    <n v="6075.65"/>
    <n v="10"/>
    <n v="12151.3"/>
    <n v="10051.26"/>
    <n v="2100.04"/>
    <x v="4"/>
    <x v="37"/>
    <x v="0"/>
    <x v="7"/>
    <x v="0"/>
  </r>
  <r>
    <s v="ORD00993"/>
    <s v="2024-11-27"/>
    <s v="Karan Shah"/>
    <x v="0"/>
    <s v="New Delhi"/>
    <x v="4"/>
    <s v="Storage"/>
    <x v="5"/>
    <x v="10"/>
    <n v="2"/>
    <n v="25511.46"/>
    <n v="25"/>
    <n v="51022.92"/>
    <n v="37602.94"/>
    <n v="13419.98"/>
    <x v="5"/>
    <x v="13"/>
    <x v="0"/>
    <x v="3"/>
    <x v="0"/>
  </r>
  <r>
    <s v="ORD00994"/>
    <s v="2024-10-12"/>
    <s v="Sneha Iyer"/>
    <x v="2"/>
    <s v="Surat"/>
    <x v="4"/>
    <s v="Cookware"/>
    <x v="5"/>
    <x v="9"/>
    <n v="4"/>
    <n v="5815.52"/>
    <n v="15"/>
    <n v="23262.080000000002"/>
    <n v="18368.09"/>
    <n v="4893.99"/>
    <x v="1"/>
    <x v="21"/>
    <x v="0"/>
    <x v="4"/>
    <x v="0"/>
  </r>
  <r>
    <s v="ORD00995"/>
    <s v="2024-07-30"/>
    <s v="Sneha Iyer"/>
    <x v="5"/>
    <s v="Hyderabad"/>
    <x v="1"/>
    <s v="General"/>
    <x v="6"/>
    <x v="1"/>
    <n v="3"/>
    <n v="11479.89"/>
    <n v="25"/>
    <n v="34439.67"/>
    <n v="22879.58"/>
    <n v="11560.09"/>
    <x v="5"/>
    <x v="15"/>
    <x v="0"/>
    <x v="5"/>
    <x v="0"/>
  </r>
  <r>
    <s v="ORD00996"/>
    <s v="2025-01-13"/>
    <s v="Neha Singh"/>
    <x v="5"/>
    <s v="Hyderabad"/>
    <x v="3"/>
    <s v="Headphones"/>
    <x v="12"/>
    <x v="5"/>
    <n v="3"/>
    <n v="28995.81"/>
    <n v="5"/>
    <n v="86987.43"/>
    <n v="72208"/>
    <n v="14779.43"/>
    <x v="3"/>
    <x v="40"/>
    <x v="0"/>
    <x v="6"/>
    <x v="1"/>
  </r>
  <r>
    <s v="ORD00997"/>
    <s v="2024-12-18"/>
    <s v="Priya Patel"/>
    <x v="7"/>
    <s v="Coimbatore"/>
    <x v="2"/>
    <s v="Makeup"/>
    <x v="10"/>
    <x v="6"/>
    <n v="2"/>
    <n v="32799.51"/>
    <n v="30"/>
    <n v="65599.02"/>
    <n v="46052.36"/>
    <n v="19546.66"/>
    <x v="2"/>
    <x v="7"/>
    <x v="0"/>
    <x v="1"/>
    <x v="0"/>
  </r>
  <r>
    <s v="ORD00998"/>
    <s v="2024-07-26"/>
    <s v="Neha Singh"/>
    <x v="2"/>
    <s v="Surat"/>
    <x v="2"/>
    <s v="Skincare"/>
    <x v="2"/>
    <x v="2"/>
    <n v="1"/>
    <n v="40840.800000000003"/>
    <n v="30"/>
    <n v="40840.800000000003"/>
    <n v="30803.16"/>
    <n v="10037.64"/>
    <x v="1"/>
    <x v="4"/>
    <x v="0"/>
    <x v="5"/>
    <x v="0"/>
  </r>
  <r>
    <s v="ORD00999"/>
    <s v="2024-10-02"/>
    <s v="Arjun Mehta"/>
    <x v="0"/>
    <s v="New Delhi"/>
    <x v="4"/>
    <s v="Cookware"/>
    <x v="4"/>
    <x v="10"/>
    <n v="4"/>
    <n v="34741.79"/>
    <n v="10"/>
    <n v="138967.16"/>
    <n v="110523.71"/>
    <n v="28443.45"/>
    <x v="5"/>
    <x v="3"/>
    <x v="0"/>
    <x v="4"/>
    <x v="0"/>
  </r>
  <r>
    <s v="ORD01000"/>
    <s v="2024-03-26"/>
    <s v="Arjun Mehta"/>
    <x v="1"/>
    <s v="Kolkata"/>
    <x v="4"/>
    <s v="Storage"/>
    <x v="7"/>
    <x v="4"/>
    <n v="4"/>
    <n v="16698.12"/>
    <n v="20"/>
    <n v="66792.479999999996"/>
    <n v="56471.28"/>
    <n v="10321.200000000001"/>
    <x v="4"/>
    <x v="14"/>
    <x v="0"/>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F56832-FEBE-43A0-82D1-24113D16910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0">
    <pivotField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showAll="0"/>
    <pivotField showAll="0"/>
    <pivotField showAll="0"/>
    <pivotField showAll="0"/>
    <pivotField dataField="1" showAll="0"/>
    <pivotField showAll="0"/>
    <pivotField showAll="0"/>
    <pivotField showAll="0">
      <items count="7">
        <item x="3"/>
        <item x="4"/>
        <item x="0"/>
        <item x="5"/>
        <item x="1"/>
        <item x="2"/>
        <item t="default"/>
      </items>
    </pivotField>
    <pivotField showAll="0"/>
    <pivotField showAll="0">
      <items count="4">
        <item x="1"/>
        <item x="0"/>
        <item x="2"/>
        <item t="default"/>
      </items>
    </pivotField>
    <pivotField axis="axisRow" showAll="0" measureFilter="1">
      <items count="13">
        <item x="6"/>
        <item x="8"/>
        <item x="7"/>
        <item x="9"/>
        <item x="2"/>
        <item x="10"/>
        <item x="5"/>
        <item x="11"/>
        <item x="0"/>
        <item x="4"/>
        <item x="3"/>
        <item x="1"/>
        <item t="default"/>
      </items>
    </pivotField>
    <pivotField showAll="0"/>
  </pivotFields>
  <rowFields count="1">
    <field x="18"/>
  </rowFields>
  <rowItems count="11">
    <i>
      <x/>
    </i>
    <i>
      <x v="2"/>
    </i>
    <i>
      <x v="3"/>
    </i>
    <i>
      <x v="4"/>
    </i>
    <i>
      <x v="6"/>
    </i>
    <i>
      <x v="7"/>
    </i>
    <i>
      <x v="8"/>
    </i>
    <i>
      <x v="9"/>
    </i>
    <i>
      <x v="10"/>
    </i>
    <i>
      <x v="11"/>
    </i>
    <i t="grand">
      <x/>
    </i>
  </rowItems>
  <colItems count="1">
    <i/>
  </colItems>
  <dataFields count="1">
    <dataField name="Sum of Total Sales (INR)"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DA7EE6-FA38-4E50-BCC9-EE16130E6D6A}"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8:L9" firstHeaderRow="1" firstDataRow="1" firstDataCol="0"/>
  <pivotFields count="20">
    <pivotField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showAll="0"/>
    <pivotField showAll="0"/>
    <pivotField showAll="0"/>
    <pivotField dataField="1" showAll="0"/>
    <pivotField showAll="0"/>
    <pivotField showAll="0"/>
    <pivotField showAll="0"/>
    <pivotField showAll="0">
      <items count="7">
        <item x="3"/>
        <item x="4"/>
        <item x="0"/>
        <item x="5"/>
        <item x="1"/>
        <item x="2"/>
        <item t="default"/>
      </items>
    </pivotField>
    <pivotField showAll="0"/>
    <pivotField showAll="0">
      <items count="4">
        <item x="1"/>
        <item x="0"/>
        <item x="2"/>
        <item t="default"/>
      </items>
    </pivotField>
    <pivotField showAll="0">
      <items count="13">
        <item x="6"/>
        <item x="8"/>
        <item x="7"/>
        <item x="9"/>
        <item x="2"/>
        <item x="10"/>
        <item x="5"/>
        <item x="11"/>
        <item x="0"/>
        <item x="4"/>
        <item x="3"/>
        <item x="1"/>
        <item t="default"/>
      </items>
    </pivotField>
    <pivotField showAll="0"/>
  </pivotFields>
  <rowItems count="1">
    <i/>
  </rowItems>
  <colItems count="1">
    <i/>
  </colItems>
  <dataFields count="1">
    <dataField name="Sum of Discount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ED1D75-BAEC-4E91-A283-105A0F13FD2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5:B116" firstHeaderRow="1" firstDataRow="1" firstDataCol="1"/>
  <pivotFields count="20">
    <pivotField dataField="1"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items count="7">
        <item x="3"/>
        <item x="4"/>
        <item x="0"/>
        <item x="5"/>
        <item x="1"/>
        <item x="2"/>
        <item t="default"/>
      </items>
    </pivotField>
    <pivotField showAll="0"/>
    <pivotField showAll="0">
      <items count="4">
        <item x="1"/>
        <item x="0"/>
        <item x="2"/>
        <item t="default"/>
      </items>
    </pivotField>
    <pivotField axis="axisRow" showAll="0" measureFilter="1">
      <items count="13">
        <item x="6"/>
        <item x="8"/>
        <item x="7"/>
        <item x="9"/>
        <item x="2"/>
        <item x="10"/>
        <item x="5"/>
        <item x="11"/>
        <item x="0"/>
        <item x="4"/>
        <item x="3"/>
        <item x="1"/>
        <item t="default"/>
      </items>
    </pivotField>
    <pivotField showAll="0">
      <items count="3">
        <item x="0"/>
        <item x="1"/>
        <item t="default"/>
      </items>
    </pivotField>
  </pivotFields>
  <rowFields count="1">
    <field x="18"/>
  </rowFields>
  <rowItems count="11">
    <i>
      <x v="2"/>
    </i>
    <i>
      <x v="3"/>
    </i>
    <i>
      <x v="4"/>
    </i>
    <i>
      <x v="5"/>
    </i>
    <i>
      <x v="6"/>
    </i>
    <i>
      <x v="7"/>
    </i>
    <i>
      <x v="8"/>
    </i>
    <i>
      <x v="9"/>
    </i>
    <i>
      <x v="10"/>
    </i>
    <i>
      <x v="11"/>
    </i>
    <i t="grand">
      <x/>
    </i>
  </rowItems>
  <colItems count="1">
    <i/>
  </colItems>
  <dataFields count="1">
    <dataField name="Count of Order ID" fld="0" subtotal="count"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C6E760-3621-480C-9855-5A4DDB926E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22:M694" firstHeaderRow="1" firstDataRow="1" firstDataCol="1"/>
  <pivotFields count="20">
    <pivotField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axis="axisRow" showAll="0">
      <items count="26">
        <item x="16"/>
        <item x="13"/>
        <item x="14"/>
        <item x="4"/>
        <item x="24"/>
        <item x="0"/>
        <item x="2"/>
        <item x="21"/>
        <item x="17"/>
        <item x="20"/>
        <item x="8"/>
        <item x="1"/>
        <item x="18"/>
        <item x="11"/>
        <item x="5"/>
        <item x="10"/>
        <item x="22"/>
        <item x="19"/>
        <item x="12"/>
        <item x="3"/>
        <item x="6"/>
        <item x="23"/>
        <item x="7"/>
        <item x="9"/>
        <item x="15"/>
        <item t="default"/>
      </items>
    </pivotField>
    <pivotField showAll="0"/>
    <pivotField showAll="0"/>
    <pivotField showAll="0"/>
    <pivotField showAll="0"/>
    <pivotField showAll="0"/>
    <pivotField showAll="0"/>
    <pivotField showAll="0"/>
    <pivotField showAll="0">
      <items count="7">
        <item x="3"/>
        <item x="4"/>
        <item x="0"/>
        <item x="5"/>
        <item x="1"/>
        <item x="2"/>
        <item t="default"/>
      </items>
    </pivotField>
    <pivotField axis="axisRow" dataField="1" showAll="0">
      <items count="42">
        <item x="34"/>
        <item x="19"/>
        <item x="12"/>
        <item x="11"/>
        <item x="23"/>
        <item x="39"/>
        <item x="14"/>
        <item x="5"/>
        <item x="31"/>
        <item x="30"/>
        <item x="6"/>
        <item x="37"/>
        <item x="21"/>
        <item x="10"/>
        <item x="7"/>
        <item x="15"/>
        <item x="8"/>
        <item x="29"/>
        <item x="18"/>
        <item x="36"/>
        <item x="32"/>
        <item x="4"/>
        <item x="3"/>
        <item x="26"/>
        <item x="20"/>
        <item x="0"/>
        <item x="22"/>
        <item x="13"/>
        <item x="28"/>
        <item x="1"/>
        <item x="9"/>
        <item x="27"/>
        <item x="24"/>
        <item x="17"/>
        <item x="2"/>
        <item x="16"/>
        <item x="33"/>
        <item x="25"/>
        <item x="38"/>
        <item x="35"/>
        <item x="40"/>
        <item t="default"/>
      </items>
    </pivotField>
    <pivotField showAll="0">
      <items count="4">
        <item x="1"/>
        <item x="0"/>
        <item x="2"/>
        <item t="default"/>
      </items>
    </pivotField>
    <pivotField showAll="0">
      <items count="13">
        <item x="6"/>
        <item x="8"/>
        <item x="7"/>
        <item x="9"/>
        <item x="2"/>
        <item x="10"/>
        <item x="5"/>
        <item x="11"/>
        <item x="0"/>
        <item x="4"/>
        <item x="3"/>
        <item x="1"/>
        <item t="default"/>
      </items>
    </pivotField>
    <pivotField showAll="0"/>
  </pivotFields>
  <rowFields count="2">
    <field x="16"/>
    <field x="7"/>
  </rowFields>
  <rowItems count="672">
    <i>
      <x/>
    </i>
    <i r="1">
      <x v="4"/>
    </i>
    <i r="1">
      <x v="5"/>
    </i>
    <i r="1">
      <x v="6"/>
    </i>
    <i r="1">
      <x v="8"/>
    </i>
    <i r="1">
      <x v="10"/>
    </i>
    <i r="1">
      <x v="12"/>
    </i>
    <i r="1">
      <x v="14"/>
    </i>
    <i r="1">
      <x v="16"/>
    </i>
    <i r="1">
      <x v="17"/>
    </i>
    <i r="1">
      <x v="20"/>
    </i>
    <i r="1">
      <x v="21"/>
    </i>
    <i>
      <x v="1"/>
    </i>
    <i r="1">
      <x v="1"/>
    </i>
    <i r="1">
      <x v="3"/>
    </i>
    <i r="1">
      <x v="5"/>
    </i>
    <i r="1">
      <x v="7"/>
    </i>
    <i r="1">
      <x v="8"/>
    </i>
    <i r="1">
      <x v="9"/>
    </i>
    <i r="1">
      <x v="10"/>
    </i>
    <i r="1">
      <x v="12"/>
    </i>
    <i r="1">
      <x v="13"/>
    </i>
    <i r="1">
      <x v="14"/>
    </i>
    <i r="1">
      <x v="15"/>
    </i>
    <i r="1">
      <x v="16"/>
    </i>
    <i r="1">
      <x v="17"/>
    </i>
    <i r="1">
      <x v="19"/>
    </i>
    <i r="1">
      <x v="22"/>
    </i>
    <i r="1">
      <x v="24"/>
    </i>
    <i>
      <x v="2"/>
    </i>
    <i r="1">
      <x v="1"/>
    </i>
    <i r="1">
      <x v="3"/>
    </i>
    <i r="1">
      <x v="5"/>
    </i>
    <i r="1">
      <x v="7"/>
    </i>
    <i r="1">
      <x v="8"/>
    </i>
    <i r="1">
      <x v="9"/>
    </i>
    <i r="1">
      <x v="11"/>
    </i>
    <i r="1">
      <x v="13"/>
    </i>
    <i r="1">
      <x v="14"/>
    </i>
    <i r="1">
      <x v="15"/>
    </i>
    <i r="1">
      <x v="18"/>
    </i>
    <i r="1">
      <x v="19"/>
    </i>
    <i r="1">
      <x v="21"/>
    </i>
    <i r="1">
      <x v="23"/>
    </i>
    <i r="1">
      <x v="24"/>
    </i>
    <i>
      <x v="3"/>
    </i>
    <i r="1">
      <x v="1"/>
    </i>
    <i r="1">
      <x v="5"/>
    </i>
    <i r="1">
      <x v="7"/>
    </i>
    <i r="1">
      <x v="9"/>
    </i>
    <i r="1">
      <x v="10"/>
    </i>
    <i r="1">
      <x v="13"/>
    </i>
    <i r="1">
      <x v="18"/>
    </i>
    <i r="1">
      <x v="21"/>
    </i>
    <i r="1">
      <x v="22"/>
    </i>
    <i r="1">
      <x v="23"/>
    </i>
    <i r="1">
      <x v="24"/>
    </i>
    <i>
      <x v="4"/>
    </i>
    <i r="1">
      <x v="4"/>
    </i>
    <i r="1">
      <x v="5"/>
    </i>
    <i r="1">
      <x v="6"/>
    </i>
    <i r="1">
      <x v="7"/>
    </i>
    <i r="1">
      <x v="9"/>
    </i>
    <i r="1">
      <x v="10"/>
    </i>
    <i r="1">
      <x v="11"/>
    </i>
    <i r="1">
      <x v="12"/>
    </i>
    <i r="1">
      <x v="16"/>
    </i>
    <i r="1">
      <x v="17"/>
    </i>
    <i r="1">
      <x v="18"/>
    </i>
    <i r="1">
      <x v="19"/>
    </i>
    <i r="1">
      <x v="20"/>
    </i>
    <i r="1">
      <x v="22"/>
    </i>
    <i r="1">
      <x v="23"/>
    </i>
    <i>
      <x v="5"/>
    </i>
    <i r="1">
      <x v="1"/>
    </i>
    <i r="1">
      <x v="2"/>
    </i>
    <i r="1">
      <x v="3"/>
    </i>
    <i r="1">
      <x v="4"/>
    </i>
    <i r="1">
      <x v="7"/>
    </i>
    <i r="1">
      <x v="9"/>
    </i>
    <i r="1">
      <x v="10"/>
    </i>
    <i r="1">
      <x v="12"/>
    </i>
    <i r="1">
      <x v="14"/>
    </i>
    <i r="1">
      <x v="15"/>
    </i>
    <i r="1">
      <x v="16"/>
    </i>
    <i r="1">
      <x v="20"/>
    </i>
    <i r="1">
      <x v="23"/>
    </i>
    <i r="1">
      <x v="24"/>
    </i>
    <i>
      <x v="6"/>
    </i>
    <i r="1">
      <x v="1"/>
    </i>
    <i r="1">
      <x v="5"/>
    </i>
    <i r="1">
      <x v="6"/>
    </i>
    <i r="1">
      <x v="7"/>
    </i>
    <i r="1">
      <x v="8"/>
    </i>
    <i r="1">
      <x v="9"/>
    </i>
    <i r="1">
      <x v="11"/>
    </i>
    <i r="1">
      <x v="13"/>
    </i>
    <i r="1">
      <x v="14"/>
    </i>
    <i r="1">
      <x v="16"/>
    </i>
    <i r="1">
      <x v="18"/>
    </i>
    <i r="1">
      <x v="19"/>
    </i>
    <i r="1">
      <x v="20"/>
    </i>
    <i r="1">
      <x v="21"/>
    </i>
    <i r="1">
      <x v="22"/>
    </i>
    <i r="1">
      <x v="24"/>
    </i>
    <i>
      <x v="7"/>
    </i>
    <i r="1">
      <x/>
    </i>
    <i r="1">
      <x v="2"/>
    </i>
    <i r="1">
      <x v="5"/>
    </i>
    <i r="1">
      <x v="6"/>
    </i>
    <i r="1">
      <x v="7"/>
    </i>
    <i r="1">
      <x v="8"/>
    </i>
    <i r="1">
      <x v="11"/>
    </i>
    <i r="1">
      <x v="12"/>
    </i>
    <i r="1">
      <x v="14"/>
    </i>
    <i r="1">
      <x v="16"/>
    </i>
    <i r="1">
      <x v="17"/>
    </i>
    <i r="1">
      <x v="22"/>
    </i>
    <i r="1">
      <x v="23"/>
    </i>
    <i>
      <x v="8"/>
    </i>
    <i r="1">
      <x v="2"/>
    </i>
    <i r="1">
      <x v="3"/>
    </i>
    <i r="1">
      <x v="4"/>
    </i>
    <i r="1">
      <x v="5"/>
    </i>
    <i r="1">
      <x v="6"/>
    </i>
    <i r="1">
      <x v="8"/>
    </i>
    <i r="1">
      <x v="9"/>
    </i>
    <i r="1">
      <x v="10"/>
    </i>
    <i r="1">
      <x v="11"/>
    </i>
    <i r="1">
      <x v="12"/>
    </i>
    <i r="1">
      <x v="15"/>
    </i>
    <i r="1">
      <x v="17"/>
    </i>
    <i r="1">
      <x v="18"/>
    </i>
    <i r="1">
      <x v="19"/>
    </i>
    <i r="1">
      <x v="22"/>
    </i>
    <i r="1">
      <x v="23"/>
    </i>
    <i r="1">
      <x v="24"/>
    </i>
    <i>
      <x v="9"/>
    </i>
    <i r="1">
      <x v="2"/>
    </i>
    <i r="1">
      <x v="3"/>
    </i>
    <i r="1">
      <x v="4"/>
    </i>
    <i r="1">
      <x v="5"/>
    </i>
    <i r="1">
      <x v="7"/>
    </i>
    <i r="1">
      <x v="8"/>
    </i>
    <i r="1">
      <x v="10"/>
    </i>
    <i r="1">
      <x v="11"/>
    </i>
    <i r="1">
      <x v="12"/>
    </i>
    <i r="1">
      <x v="13"/>
    </i>
    <i r="1">
      <x v="14"/>
    </i>
    <i r="1">
      <x v="15"/>
    </i>
    <i r="1">
      <x v="17"/>
    </i>
    <i r="1">
      <x v="18"/>
    </i>
    <i r="1">
      <x v="19"/>
    </i>
    <i r="1">
      <x v="20"/>
    </i>
    <i r="1">
      <x v="21"/>
    </i>
    <i r="1">
      <x v="22"/>
    </i>
    <i r="1">
      <x v="23"/>
    </i>
    <i r="1">
      <x v="24"/>
    </i>
    <i>
      <x v="10"/>
    </i>
    <i r="1">
      <x v="2"/>
    </i>
    <i r="1">
      <x v="5"/>
    </i>
    <i r="1">
      <x v="6"/>
    </i>
    <i r="1">
      <x v="8"/>
    </i>
    <i r="1">
      <x v="9"/>
    </i>
    <i r="1">
      <x v="10"/>
    </i>
    <i r="1">
      <x v="12"/>
    </i>
    <i r="1">
      <x v="13"/>
    </i>
    <i r="1">
      <x v="14"/>
    </i>
    <i r="1">
      <x v="15"/>
    </i>
    <i r="1">
      <x v="16"/>
    </i>
    <i r="1">
      <x v="17"/>
    </i>
    <i r="1">
      <x v="18"/>
    </i>
    <i r="1">
      <x v="19"/>
    </i>
    <i r="1">
      <x v="20"/>
    </i>
    <i r="1">
      <x v="21"/>
    </i>
    <i>
      <x v="11"/>
    </i>
    <i r="1">
      <x v="1"/>
    </i>
    <i r="1">
      <x v="7"/>
    </i>
    <i r="1">
      <x v="10"/>
    </i>
    <i r="1">
      <x v="11"/>
    </i>
    <i r="1">
      <x v="12"/>
    </i>
    <i r="1">
      <x v="13"/>
    </i>
    <i r="1">
      <x v="14"/>
    </i>
    <i r="1">
      <x v="16"/>
    </i>
    <i r="1">
      <x v="19"/>
    </i>
    <i r="1">
      <x v="20"/>
    </i>
    <i r="1">
      <x v="24"/>
    </i>
    <i>
      <x v="12"/>
    </i>
    <i r="1">
      <x v="1"/>
    </i>
    <i r="1">
      <x v="3"/>
    </i>
    <i r="1">
      <x v="9"/>
    </i>
    <i r="1">
      <x v="11"/>
    </i>
    <i r="1">
      <x v="12"/>
    </i>
    <i r="1">
      <x v="13"/>
    </i>
    <i r="1">
      <x v="14"/>
    </i>
    <i r="1">
      <x v="17"/>
    </i>
    <i r="1">
      <x v="18"/>
    </i>
    <i r="1">
      <x v="20"/>
    </i>
    <i r="1">
      <x v="21"/>
    </i>
    <i>
      <x v="13"/>
    </i>
    <i r="1">
      <x v="1"/>
    </i>
    <i r="1">
      <x v="2"/>
    </i>
    <i r="1">
      <x v="7"/>
    </i>
    <i r="1">
      <x v="8"/>
    </i>
    <i r="1">
      <x v="9"/>
    </i>
    <i r="1">
      <x v="12"/>
    </i>
    <i r="1">
      <x v="14"/>
    </i>
    <i r="1">
      <x v="15"/>
    </i>
    <i r="1">
      <x v="17"/>
    </i>
    <i r="1">
      <x v="19"/>
    </i>
    <i r="1">
      <x v="21"/>
    </i>
    <i r="1">
      <x v="22"/>
    </i>
    <i r="1">
      <x v="24"/>
    </i>
    <i>
      <x v="14"/>
    </i>
    <i r="1">
      <x/>
    </i>
    <i r="1">
      <x v="2"/>
    </i>
    <i r="1">
      <x v="3"/>
    </i>
    <i r="1">
      <x v="5"/>
    </i>
    <i r="1">
      <x v="6"/>
    </i>
    <i r="1">
      <x v="8"/>
    </i>
    <i r="1">
      <x v="9"/>
    </i>
    <i r="1">
      <x v="11"/>
    </i>
    <i r="1">
      <x v="12"/>
    </i>
    <i r="1">
      <x v="15"/>
    </i>
    <i r="1">
      <x v="19"/>
    </i>
    <i r="1">
      <x v="21"/>
    </i>
    <i r="1">
      <x v="22"/>
    </i>
    <i r="1">
      <x v="23"/>
    </i>
    <i r="1">
      <x v="24"/>
    </i>
    <i>
      <x v="15"/>
    </i>
    <i r="1">
      <x/>
    </i>
    <i r="1">
      <x v="1"/>
    </i>
    <i r="1">
      <x v="2"/>
    </i>
    <i r="1">
      <x v="5"/>
    </i>
    <i r="1">
      <x v="6"/>
    </i>
    <i r="1">
      <x v="8"/>
    </i>
    <i r="1">
      <x v="9"/>
    </i>
    <i r="1">
      <x v="11"/>
    </i>
    <i r="1">
      <x v="13"/>
    </i>
    <i r="1">
      <x v="15"/>
    </i>
    <i r="1">
      <x v="16"/>
    </i>
    <i r="1">
      <x v="17"/>
    </i>
    <i r="1">
      <x v="18"/>
    </i>
    <i r="1">
      <x v="19"/>
    </i>
    <i r="1">
      <x v="20"/>
    </i>
    <i r="1">
      <x v="22"/>
    </i>
    <i r="1">
      <x v="23"/>
    </i>
    <i>
      <x v="16"/>
    </i>
    <i r="1">
      <x/>
    </i>
    <i r="1">
      <x v="2"/>
    </i>
    <i r="1">
      <x v="5"/>
    </i>
    <i r="1">
      <x v="6"/>
    </i>
    <i r="1">
      <x v="7"/>
    </i>
    <i r="1">
      <x v="8"/>
    </i>
    <i r="1">
      <x v="9"/>
    </i>
    <i r="1">
      <x v="10"/>
    </i>
    <i r="1">
      <x v="11"/>
    </i>
    <i r="1">
      <x v="13"/>
    </i>
    <i r="1">
      <x v="14"/>
    </i>
    <i r="1">
      <x v="15"/>
    </i>
    <i r="1">
      <x v="17"/>
    </i>
    <i r="1">
      <x v="18"/>
    </i>
    <i r="1">
      <x v="21"/>
    </i>
    <i r="1">
      <x v="22"/>
    </i>
    <i r="1">
      <x v="23"/>
    </i>
    <i>
      <x v="17"/>
    </i>
    <i r="1">
      <x v="3"/>
    </i>
    <i r="1">
      <x v="5"/>
    </i>
    <i r="1">
      <x v="6"/>
    </i>
    <i r="1">
      <x v="8"/>
    </i>
    <i r="1">
      <x v="9"/>
    </i>
    <i r="1">
      <x v="10"/>
    </i>
    <i r="1">
      <x v="11"/>
    </i>
    <i r="1">
      <x v="12"/>
    </i>
    <i r="1">
      <x v="15"/>
    </i>
    <i r="1">
      <x v="16"/>
    </i>
    <i r="1">
      <x v="17"/>
    </i>
    <i r="1">
      <x v="18"/>
    </i>
    <i r="1">
      <x v="19"/>
    </i>
    <i r="1">
      <x v="21"/>
    </i>
    <i r="1">
      <x v="22"/>
    </i>
    <i r="1">
      <x v="23"/>
    </i>
    <i r="1">
      <x v="24"/>
    </i>
    <i>
      <x v="18"/>
    </i>
    <i r="1">
      <x/>
    </i>
    <i r="1">
      <x v="1"/>
    </i>
    <i r="1">
      <x v="2"/>
    </i>
    <i r="1">
      <x v="4"/>
    </i>
    <i r="1">
      <x v="5"/>
    </i>
    <i r="1">
      <x v="6"/>
    </i>
    <i r="1">
      <x v="7"/>
    </i>
    <i r="1">
      <x v="9"/>
    </i>
    <i r="1">
      <x v="10"/>
    </i>
    <i r="1">
      <x v="11"/>
    </i>
    <i r="1">
      <x v="13"/>
    </i>
    <i r="1">
      <x v="16"/>
    </i>
    <i r="1">
      <x v="17"/>
    </i>
    <i r="1">
      <x v="19"/>
    </i>
    <i r="1">
      <x v="24"/>
    </i>
    <i>
      <x v="19"/>
    </i>
    <i r="1">
      <x v="1"/>
    </i>
    <i r="1">
      <x v="2"/>
    </i>
    <i r="1">
      <x v="4"/>
    </i>
    <i r="1">
      <x v="5"/>
    </i>
    <i r="1">
      <x v="6"/>
    </i>
    <i r="1">
      <x v="7"/>
    </i>
    <i r="1">
      <x v="8"/>
    </i>
    <i r="1">
      <x v="9"/>
    </i>
    <i r="1">
      <x v="11"/>
    </i>
    <i r="1">
      <x v="12"/>
    </i>
    <i r="1">
      <x v="13"/>
    </i>
    <i r="1">
      <x v="15"/>
    </i>
    <i r="1">
      <x v="16"/>
    </i>
    <i r="1">
      <x v="17"/>
    </i>
    <i r="1">
      <x v="18"/>
    </i>
    <i r="1">
      <x v="19"/>
    </i>
    <i r="1">
      <x v="21"/>
    </i>
    <i r="1">
      <x v="22"/>
    </i>
    <i r="1">
      <x v="24"/>
    </i>
    <i>
      <x v="20"/>
    </i>
    <i r="1">
      <x/>
    </i>
    <i r="1">
      <x v="4"/>
    </i>
    <i r="1">
      <x v="5"/>
    </i>
    <i r="1">
      <x v="6"/>
    </i>
    <i r="1">
      <x v="8"/>
    </i>
    <i r="1">
      <x v="9"/>
    </i>
    <i r="1">
      <x v="10"/>
    </i>
    <i r="1">
      <x v="11"/>
    </i>
    <i r="1">
      <x v="13"/>
    </i>
    <i r="1">
      <x v="14"/>
    </i>
    <i r="1">
      <x v="17"/>
    </i>
    <i r="1">
      <x v="19"/>
    </i>
    <i r="1">
      <x v="20"/>
    </i>
    <i r="1">
      <x v="21"/>
    </i>
    <i r="1">
      <x v="24"/>
    </i>
    <i>
      <x v="21"/>
    </i>
    <i r="1">
      <x v="1"/>
    </i>
    <i r="1">
      <x v="2"/>
    </i>
    <i r="1">
      <x v="3"/>
    </i>
    <i r="1">
      <x v="5"/>
    </i>
    <i r="1">
      <x v="6"/>
    </i>
    <i r="1">
      <x v="7"/>
    </i>
    <i r="1">
      <x v="10"/>
    </i>
    <i r="1">
      <x v="11"/>
    </i>
    <i r="1">
      <x v="13"/>
    </i>
    <i r="1">
      <x v="14"/>
    </i>
    <i r="1">
      <x v="16"/>
    </i>
    <i r="1">
      <x v="17"/>
    </i>
    <i r="1">
      <x v="18"/>
    </i>
    <i r="1">
      <x v="20"/>
    </i>
    <i r="1">
      <x v="22"/>
    </i>
    <i r="1">
      <x v="23"/>
    </i>
    <i r="1">
      <x v="24"/>
    </i>
    <i>
      <x v="22"/>
    </i>
    <i r="1">
      <x v="1"/>
    </i>
    <i r="1">
      <x v="3"/>
    </i>
    <i r="1">
      <x v="4"/>
    </i>
    <i r="1">
      <x v="7"/>
    </i>
    <i r="1">
      <x v="9"/>
    </i>
    <i r="1">
      <x v="11"/>
    </i>
    <i r="1">
      <x v="12"/>
    </i>
    <i r="1">
      <x v="14"/>
    </i>
    <i r="1">
      <x v="15"/>
    </i>
    <i r="1">
      <x v="17"/>
    </i>
    <i r="1">
      <x v="19"/>
    </i>
    <i r="1">
      <x v="20"/>
    </i>
    <i r="1">
      <x v="21"/>
    </i>
    <i r="1">
      <x v="22"/>
    </i>
    <i r="1">
      <x v="23"/>
    </i>
    <i r="1">
      <x v="24"/>
    </i>
    <i>
      <x v="23"/>
    </i>
    <i r="1">
      <x/>
    </i>
    <i r="1">
      <x v="1"/>
    </i>
    <i r="1">
      <x v="3"/>
    </i>
    <i r="1">
      <x v="4"/>
    </i>
    <i r="1">
      <x v="5"/>
    </i>
    <i r="1">
      <x v="6"/>
    </i>
    <i r="1">
      <x v="7"/>
    </i>
    <i r="1">
      <x v="8"/>
    </i>
    <i r="1">
      <x v="9"/>
    </i>
    <i r="1">
      <x v="10"/>
    </i>
    <i r="1">
      <x v="12"/>
    </i>
    <i r="1">
      <x v="13"/>
    </i>
    <i r="1">
      <x v="16"/>
    </i>
    <i r="1">
      <x v="18"/>
    </i>
    <i r="1">
      <x v="20"/>
    </i>
    <i>
      <x v="24"/>
    </i>
    <i r="1">
      <x v="1"/>
    </i>
    <i r="1">
      <x v="3"/>
    </i>
    <i r="1">
      <x v="4"/>
    </i>
    <i r="1">
      <x v="5"/>
    </i>
    <i r="1">
      <x v="6"/>
    </i>
    <i r="1">
      <x v="9"/>
    </i>
    <i r="1">
      <x v="10"/>
    </i>
    <i r="1">
      <x v="12"/>
    </i>
    <i r="1">
      <x v="15"/>
    </i>
    <i r="1">
      <x v="16"/>
    </i>
    <i r="1">
      <x v="18"/>
    </i>
    <i r="1">
      <x v="19"/>
    </i>
    <i r="1">
      <x v="20"/>
    </i>
    <i r="1">
      <x v="21"/>
    </i>
    <i r="1">
      <x v="22"/>
    </i>
    <i r="1">
      <x v="24"/>
    </i>
    <i>
      <x v="25"/>
    </i>
    <i r="1">
      <x/>
    </i>
    <i r="1">
      <x v="1"/>
    </i>
    <i r="1">
      <x v="2"/>
    </i>
    <i r="1">
      <x v="4"/>
    </i>
    <i r="1">
      <x v="5"/>
    </i>
    <i r="1">
      <x v="7"/>
    </i>
    <i r="1">
      <x v="8"/>
    </i>
    <i r="1">
      <x v="9"/>
    </i>
    <i r="1">
      <x v="10"/>
    </i>
    <i r="1">
      <x v="12"/>
    </i>
    <i r="1">
      <x v="13"/>
    </i>
    <i r="1">
      <x v="15"/>
    </i>
    <i r="1">
      <x v="17"/>
    </i>
    <i r="1">
      <x v="18"/>
    </i>
    <i r="1">
      <x v="21"/>
    </i>
    <i r="1">
      <x v="23"/>
    </i>
    <i r="1">
      <x v="24"/>
    </i>
    <i>
      <x v="26"/>
    </i>
    <i r="1">
      <x/>
    </i>
    <i r="1">
      <x v="1"/>
    </i>
    <i r="1">
      <x v="2"/>
    </i>
    <i r="1">
      <x v="3"/>
    </i>
    <i r="1">
      <x v="4"/>
    </i>
    <i r="1">
      <x v="5"/>
    </i>
    <i r="1">
      <x v="6"/>
    </i>
    <i r="1">
      <x v="7"/>
    </i>
    <i r="1">
      <x v="10"/>
    </i>
    <i r="1">
      <x v="12"/>
    </i>
    <i r="1">
      <x v="14"/>
    </i>
    <i r="1">
      <x v="15"/>
    </i>
    <i r="1">
      <x v="16"/>
    </i>
    <i r="1">
      <x v="18"/>
    </i>
    <i r="1">
      <x v="19"/>
    </i>
    <i r="1">
      <x v="22"/>
    </i>
    <i r="1">
      <x v="23"/>
    </i>
    <i r="1">
      <x v="24"/>
    </i>
    <i>
      <x v="27"/>
    </i>
    <i r="1">
      <x v="1"/>
    </i>
    <i r="1">
      <x v="3"/>
    </i>
    <i r="1">
      <x v="4"/>
    </i>
    <i r="1">
      <x v="7"/>
    </i>
    <i r="1">
      <x v="9"/>
    </i>
    <i r="1">
      <x v="10"/>
    </i>
    <i r="1">
      <x v="11"/>
    </i>
    <i r="1">
      <x v="13"/>
    </i>
    <i r="1">
      <x v="14"/>
    </i>
    <i r="1">
      <x v="15"/>
    </i>
    <i r="1">
      <x v="16"/>
    </i>
    <i r="1">
      <x v="18"/>
    </i>
    <i r="1">
      <x v="19"/>
    </i>
    <i r="1">
      <x v="21"/>
    </i>
    <i r="1">
      <x v="22"/>
    </i>
    <i r="1">
      <x v="24"/>
    </i>
    <i>
      <x v="28"/>
    </i>
    <i r="1">
      <x/>
    </i>
    <i r="1">
      <x v="1"/>
    </i>
    <i r="1">
      <x v="2"/>
    </i>
    <i r="1">
      <x v="3"/>
    </i>
    <i r="1">
      <x v="5"/>
    </i>
    <i r="1">
      <x v="7"/>
    </i>
    <i r="1">
      <x v="9"/>
    </i>
    <i r="1">
      <x v="10"/>
    </i>
    <i r="1">
      <x v="11"/>
    </i>
    <i r="1">
      <x v="12"/>
    </i>
    <i r="1">
      <x v="13"/>
    </i>
    <i r="1">
      <x v="14"/>
    </i>
    <i r="1">
      <x v="16"/>
    </i>
    <i r="1">
      <x v="17"/>
    </i>
    <i r="1">
      <x v="19"/>
    </i>
    <i r="1">
      <x v="21"/>
    </i>
    <i r="1">
      <x v="24"/>
    </i>
    <i>
      <x v="29"/>
    </i>
    <i r="1">
      <x/>
    </i>
    <i r="1">
      <x v="1"/>
    </i>
    <i r="1">
      <x v="4"/>
    </i>
    <i r="1">
      <x v="5"/>
    </i>
    <i r="1">
      <x v="6"/>
    </i>
    <i r="1">
      <x v="8"/>
    </i>
    <i r="1">
      <x v="9"/>
    </i>
    <i r="1">
      <x v="10"/>
    </i>
    <i r="1">
      <x v="11"/>
    </i>
    <i r="1">
      <x v="13"/>
    </i>
    <i r="1">
      <x v="14"/>
    </i>
    <i r="1">
      <x v="16"/>
    </i>
    <i r="1">
      <x v="20"/>
    </i>
    <i r="1">
      <x v="23"/>
    </i>
    <i r="1">
      <x v="24"/>
    </i>
    <i>
      <x v="30"/>
    </i>
    <i r="1">
      <x v="1"/>
    </i>
    <i r="1">
      <x v="2"/>
    </i>
    <i r="1">
      <x v="4"/>
    </i>
    <i r="1">
      <x v="5"/>
    </i>
    <i r="1">
      <x v="6"/>
    </i>
    <i r="1">
      <x v="7"/>
    </i>
    <i r="1">
      <x v="12"/>
    </i>
    <i r="1">
      <x v="13"/>
    </i>
    <i r="1">
      <x v="14"/>
    </i>
    <i r="1">
      <x v="15"/>
    </i>
    <i r="1">
      <x v="16"/>
    </i>
    <i r="1">
      <x v="17"/>
    </i>
    <i r="1">
      <x v="18"/>
    </i>
    <i r="1">
      <x v="19"/>
    </i>
    <i r="1">
      <x v="20"/>
    </i>
    <i r="1">
      <x v="21"/>
    </i>
    <i r="1">
      <x v="22"/>
    </i>
    <i r="1">
      <x v="23"/>
    </i>
    <i r="1">
      <x v="24"/>
    </i>
    <i>
      <x v="31"/>
    </i>
    <i r="1">
      <x/>
    </i>
    <i r="1">
      <x v="1"/>
    </i>
    <i r="1">
      <x v="2"/>
    </i>
    <i r="1">
      <x v="3"/>
    </i>
    <i r="1">
      <x v="5"/>
    </i>
    <i r="1">
      <x v="6"/>
    </i>
    <i r="1">
      <x v="7"/>
    </i>
    <i r="1">
      <x v="8"/>
    </i>
    <i r="1">
      <x v="9"/>
    </i>
    <i r="1">
      <x v="11"/>
    </i>
    <i r="1">
      <x v="12"/>
    </i>
    <i r="1">
      <x v="14"/>
    </i>
    <i r="1">
      <x v="16"/>
    </i>
    <i r="1">
      <x v="17"/>
    </i>
    <i r="1">
      <x v="18"/>
    </i>
    <i r="1">
      <x v="19"/>
    </i>
    <i r="1">
      <x v="20"/>
    </i>
    <i r="1">
      <x v="21"/>
    </i>
    <i r="1">
      <x v="22"/>
    </i>
    <i r="1">
      <x v="23"/>
    </i>
    <i r="1">
      <x v="24"/>
    </i>
    <i>
      <x v="32"/>
    </i>
    <i r="1">
      <x/>
    </i>
    <i r="1">
      <x v="2"/>
    </i>
    <i r="1">
      <x v="3"/>
    </i>
    <i r="1">
      <x v="5"/>
    </i>
    <i r="1">
      <x v="6"/>
    </i>
    <i r="1">
      <x v="7"/>
    </i>
    <i r="1">
      <x v="8"/>
    </i>
    <i r="1">
      <x v="10"/>
    </i>
    <i r="1">
      <x v="11"/>
    </i>
    <i r="1">
      <x v="12"/>
    </i>
    <i r="1">
      <x v="13"/>
    </i>
    <i r="1">
      <x v="15"/>
    </i>
    <i r="1">
      <x v="16"/>
    </i>
    <i r="1">
      <x v="18"/>
    </i>
    <i r="1">
      <x v="19"/>
    </i>
    <i r="1">
      <x v="20"/>
    </i>
    <i r="1">
      <x v="21"/>
    </i>
    <i r="1">
      <x v="22"/>
    </i>
    <i r="1">
      <x v="24"/>
    </i>
    <i>
      <x v="33"/>
    </i>
    <i r="1">
      <x/>
    </i>
    <i r="1">
      <x v="1"/>
    </i>
    <i r="1">
      <x v="2"/>
    </i>
    <i r="1">
      <x v="3"/>
    </i>
    <i r="1">
      <x v="5"/>
    </i>
    <i r="1">
      <x v="6"/>
    </i>
    <i r="1">
      <x v="9"/>
    </i>
    <i r="1">
      <x v="11"/>
    </i>
    <i r="1">
      <x v="12"/>
    </i>
    <i r="1">
      <x v="14"/>
    </i>
    <i r="1">
      <x v="15"/>
    </i>
    <i r="1">
      <x v="19"/>
    </i>
    <i r="1">
      <x v="21"/>
    </i>
    <i r="1">
      <x v="23"/>
    </i>
    <i r="1">
      <x v="24"/>
    </i>
    <i>
      <x v="34"/>
    </i>
    <i r="1">
      <x/>
    </i>
    <i r="1">
      <x v="1"/>
    </i>
    <i r="1">
      <x v="3"/>
    </i>
    <i r="1">
      <x v="5"/>
    </i>
    <i r="1">
      <x v="6"/>
    </i>
    <i r="1">
      <x v="7"/>
    </i>
    <i r="1">
      <x v="8"/>
    </i>
    <i r="1">
      <x v="9"/>
    </i>
    <i r="1">
      <x v="10"/>
    </i>
    <i r="1">
      <x v="12"/>
    </i>
    <i r="1">
      <x v="13"/>
    </i>
    <i r="1">
      <x v="16"/>
    </i>
    <i r="1">
      <x v="17"/>
    </i>
    <i r="1">
      <x v="18"/>
    </i>
    <i r="1">
      <x v="19"/>
    </i>
    <i r="1">
      <x v="20"/>
    </i>
    <i r="1">
      <x v="21"/>
    </i>
    <i r="1">
      <x v="23"/>
    </i>
    <i r="1">
      <x v="24"/>
    </i>
    <i>
      <x v="35"/>
    </i>
    <i r="1">
      <x/>
    </i>
    <i r="1">
      <x v="1"/>
    </i>
    <i r="1">
      <x v="3"/>
    </i>
    <i r="1">
      <x v="5"/>
    </i>
    <i r="1">
      <x v="6"/>
    </i>
    <i r="1">
      <x v="9"/>
    </i>
    <i r="1">
      <x v="11"/>
    </i>
    <i r="1">
      <x v="12"/>
    </i>
    <i r="1">
      <x v="15"/>
    </i>
    <i r="1">
      <x v="16"/>
    </i>
    <i r="1">
      <x v="19"/>
    </i>
    <i r="1">
      <x v="20"/>
    </i>
    <i r="1">
      <x v="21"/>
    </i>
    <i r="1">
      <x v="22"/>
    </i>
    <i r="1">
      <x v="23"/>
    </i>
    <i>
      <x v="36"/>
    </i>
    <i r="1">
      <x/>
    </i>
    <i r="1">
      <x v="1"/>
    </i>
    <i r="1">
      <x v="3"/>
    </i>
    <i r="1">
      <x v="4"/>
    </i>
    <i r="1">
      <x v="5"/>
    </i>
    <i r="1">
      <x v="7"/>
    </i>
    <i r="1">
      <x v="10"/>
    </i>
    <i r="1">
      <x v="11"/>
    </i>
    <i r="1">
      <x v="13"/>
    </i>
    <i r="1">
      <x v="14"/>
    </i>
    <i r="1">
      <x v="16"/>
    </i>
    <i r="1">
      <x v="18"/>
    </i>
    <i r="1">
      <x v="21"/>
    </i>
    <i r="1">
      <x v="22"/>
    </i>
    <i r="1">
      <x v="23"/>
    </i>
    <i>
      <x v="37"/>
    </i>
    <i r="1">
      <x/>
    </i>
    <i r="1">
      <x v="3"/>
    </i>
    <i r="1">
      <x v="5"/>
    </i>
    <i r="1">
      <x v="7"/>
    </i>
    <i r="1">
      <x v="10"/>
    </i>
    <i r="1">
      <x v="13"/>
    </i>
    <i r="1">
      <x v="14"/>
    </i>
    <i r="1">
      <x v="15"/>
    </i>
    <i r="1">
      <x v="19"/>
    </i>
    <i r="1">
      <x v="20"/>
    </i>
    <i r="1">
      <x v="23"/>
    </i>
    <i r="1">
      <x v="24"/>
    </i>
    <i>
      <x v="38"/>
    </i>
    <i r="1">
      <x/>
    </i>
    <i r="1">
      <x v="2"/>
    </i>
    <i r="1">
      <x v="3"/>
    </i>
    <i r="1">
      <x v="5"/>
    </i>
    <i r="1">
      <x v="6"/>
    </i>
    <i r="1">
      <x v="7"/>
    </i>
    <i r="1">
      <x v="11"/>
    </i>
    <i r="1">
      <x v="12"/>
    </i>
    <i r="1">
      <x v="13"/>
    </i>
    <i r="1">
      <x v="14"/>
    </i>
    <i r="1">
      <x v="16"/>
    </i>
    <i r="1">
      <x v="17"/>
    </i>
    <i r="1">
      <x v="18"/>
    </i>
    <i r="1">
      <x v="19"/>
    </i>
    <i>
      <x v="39"/>
    </i>
    <i r="1">
      <x v="1"/>
    </i>
    <i r="1">
      <x v="2"/>
    </i>
    <i r="1">
      <x v="3"/>
    </i>
    <i r="1">
      <x v="5"/>
    </i>
    <i r="1">
      <x v="7"/>
    </i>
    <i r="1">
      <x v="8"/>
    </i>
    <i r="1">
      <x v="9"/>
    </i>
    <i r="1">
      <x v="13"/>
    </i>
    <i r="1">
      <x v="15"/>
    </i>
    <i r="1">
      <x v="17"/>
    </i>
    <i r="1">
      <x v="18"/>
    </i>
    <i r="1">
      <x v="19"/>
    </i>
    <i r="1">
      <x v="21"/>
    </i>
    <i r="1">
      <x v="22"/>
    </i>
    <i r="1">
      <x v="24"/>
    </i>
    <i>
      <x v="40"/>
    </i>
    <i r="1">
      <x/>
    </i>
    <i r="1">
      <x v="1"/>
    </i>
    <i r="1">
      <x v="13"/>
    </i>
    <i r="1">
      <x v="17"/>
    </i>
    <i r="1">
      <x v="18"/>
    </i>
    <i t="grand">
      <x/>
    </i>
  </rowItems>
  <colItems count="1">
    <i/>
  </colItems>
  <dataFields count="1">
    <dataField name="Sum of Customer Rating"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3A47CD-B0CF-42B3-A71F-3ACCE5C4753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7:L18" firstHeaderRow="1" firstDataRow="1" firstDataCol="0"/>
  <pivotFields count="20">
    <pivotField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dataField="1" showAll="0"/>
    <pivotField showAll="0">
      <items count="7">
        <item x="3"/>
        <item x="4"/>
        <item x="0"/>
        <item x="5"/>
        <item x="1"/>
        <item x="2"/>
        <item t="default"/>
      </items>
    </pivotField>
    <pivotField showAll="0"/>
    <pivotField showAll="0">
      <items count="4">
        <item x="1"/>
        <item x="0"/>
        <item x="2"/>
        <item t="default"/>
      </items>
    </pivotField>
    <pivotField showAll="0">
      <items count="13">
        <item x="6"/>
        <item x="8"/>
        <item x="7"/>
        <item x="9"/>
        <item x="2"/>
        <item x="10"/>
        <item x="5"/>
        <item x="11"/>
        <item x="0"/>
        <item x="4"/>
        <item x="3"/>
        <item x="1"/>
        <item t="default"/>
      </items>
    </pivotField>
    <pivotField showAll="0"/>
  </pivotFields>
  <rowItems count="1">
    <i/>
  </rowItems>
  <colItems count="1">
    <i/>
  </colItems>
  <dataFields count="1">
    <dataField name="Sum of Profit (INR)"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08CA0D-A1F6-40C7-8266-1E54E681B9C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89:B100" firstHeaderRow="1" firstDataRow="1" firstDataCol="1"/>
  <pivotFields count="20">
    <pivotField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axis="axisRow" showAll="0" measureFilter="1">
      <items count="16">
        <item x="5"/>
        <item x="12"/>
        <item x="1"/>
        <item x="0"/>
        <item x="8"/>
        <item x="6"/>
        <item x="3"/>
        <item x="2"/>
        <item x="11"/>
        <item x="10"/>
        <item x="7"/>
        <item x="9"/>
        <item x="4"/>
        <item x="13"/>
        <item x="14"/>
        <item t="default"/>
      </items>
    </pivotField>
    <pivotField showAll="0"/>
    <pivotField showAll="0"/>
    <pivotField showAll="0"/>
    <pivotField dataField="1" showAll="0"/>
    <pivotField showAll="0"/>
    <pivotField showAll="0"/>
    <pivotField showAll="0">
      <items count="7">
        <item x="3"/>
        <item x="4"/>
        <item x="0"/>
        <item x="5"/>
        <item x="1"/>
        <item x="2"/>
        <item t="default"/>
      </items>
    </pivotField>
    <pivotField showAll="0"/>
    <pivotField showAll="0">
      <items count="4">
        <item x="1"/>
        <item x="0"/>
        <item x="2"/>
        <item t="default"/>
      </items>
    </pivotField>
    <pivotField showAll="0">
      <items count="13">
        <item x="6"/>
        <item x="8"/>
        <item x="7"/>
        <item x="9"/>
        <item x="2"/>
        <item x="10"/>
        <item x="5"/>
        <item x="11"/>
        <item x="0"/>
        <item x="4"/>
        <item x="3"/>
        <item x="1"/>
        <item t="default"/>
      </items>
    </pivotField>
    <pivotField showAll="0"/>
  </pivotFields>
  <rowFields count="1">
    <field x="8"/>
  </rowFields>
  <rowItems count="11">
    <i>
      <x v="1"/>
    </i>
    <i>
      <x v="2"/>
    </i>
    <i>
      <x v="3"/>
    </i>
    <i>
      <x v="5"/>
    </i>
    <i>
      <x v="7"/>
    </i>
    <i>
      <x v="8"/>
    </i>
    <i>
      <x v="9"/>
    </i>
    <i>
      <x v="10"/>
    </i>
    <i>
      <x v="11"/>
    </i>
    <i>
      <x v="12"/>
    </i>
    <i t="grand">
      <x/>
    </i>
  </rowItems>
  <colItems count="1">
    <i/>
  </colItems>
  <dataFields count="1">
    <dataField name="Sum of Total Sales (INR)" fld="12"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1300D5-A005-4606-97D4-8E44BEDA26C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4:B78" firstHeaderRow="1" firstDataRow="1" firstDataCol="1"/>
  <pivotFields count="20">
    <pivotField dataField="1"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items count="7">
        <item x="3"/>
        <item x="4"/>
        <item x="0"/>
        <item x="5"/>
        <item x="1"/>
        <item x="2"/>
        <item t="default"/>
      </items>
    </pivotField>
    <pivotField showAll="0"/>
    <pivotField axis="axisRow" showAll="0">
      <items count="4">
        <item x="1"/>
        <item x="0"/>
        <item x="2"/>
        <item t="default"/>
      </items>
    </pivotField>
    <pivotField showAll="0">
      <items count="13">
        <item x="6"/>
        <item x="8"/>
        <item x="7"/>
        <item x="9"/>
        <item x="2"/>
        <item x="10"/>
        <item x="5"/>
        <item x="11"/>
        <item x="0"/>
        <item x="4"/>
        <item x="3"/>
        <item x="1"/>
        <item t="default"/>
      </items>
    </pivotField>
    <pivotField showAll="0"/>
  </pivotFields>
  <rowFields count="1">
    <field x="17"/>
  </rowFields>
  <rowItems count="4">
    <i>
      <x/>
    </i>
    <i>
      <x v="1"/>
    </i>
    <i>
      <x v="2"/>
    </i>
    <i t="grand">
      <x/>
    </i>
  </rowItems>
  <colItems count="1">
    <i/>
  </colItems>
  <dataFields count="1">
    <dataField name="Count of Order ID" fld="0" subtotal="count" baseField="0" baseItem="0"/>
  </dataFields>
  <chartFormats count="8">
    <chartFormat chart="8"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17" count="1" selected="0">
            <x v="0"/>
          </reference>
        </references>
      </pivotArea>
    </chartFormat>
    <chartFormat chart="12" format="7">
      <pivotArea type="data" outline="0" fieldPosition="0">
        <references count="2">
          <reference field="4294967294" count="1" selected="0">
            <x v="0"/>
          </reference>
          <reference field="17" count="1" selected="0">
            <x v="1"/>
          </reference>
        </references>
      </pivotArea>
    </chartFormat>
    <chartFormat chart="12" format="8">
      <pivotArea type="data" outline="0" fieldPosition="0">
        <references count="2">
          <reference field="4294967294" count="1" selected="0">
            <x v="0"/>
          </reference>
          <reference field="17" count="1" selected="0">
            <x v="2"/>
          </reference>
        </references>
      </pivotArea>
    </chartFormat>
    <chartFormat chart="8" format="1">
      <pivotArea type="data" outline="0" fieldPosition="0">
        <references count="2">
          <reference field="4294967294" count="1" selected="0">
            <x v="0"/>
          </reference>
          <reference field="17" count="1" selected="0">
            <x v="0"/>
          </reference>
        </references>
      </pivotArea>
    </chartFormat>
    <chartFormat chart="8" format="2">
      <pivotArea type="data" outline="0" fieldPosition="0">
        <references count="2">
          <reference field="4294967294" count="1" selected="0">
            <x v="0"/>
          </reference>
          <reference field="17" count="1" selected="0">
            <x v="1"/>
          </reference>
        </references>
      </pivotArea>
    </chartFormat>
    <chartFormat chart="8" format="3">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98B6EF-737E-4537-A581-BA1B6DCFBE5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2:L13" firstHeaderRow="1" firstDataRow="1" firstDataCol="0"/>
  <pivotFields count="20">
    <pivotField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items count="7">
        <item x="3"/>
        <item x="4"/>
        <item x="0"/>
        <item x="5"/>
        <item x="1"/>
        <item x="2"/>
        <item t="default"/>
      </items>
    </pivotField>
    <pivotField dataField="1" showAll="0"/>
    <pivotField showAll="0">
      <items count="4">
        <item x="1"/>
        <item x="0"/>
        <item x="2"/>
        <item t="default"/>
      </items>
    </pivotField>
    <pivotField showAll="0">
      <items count="13">
        <item x="6"/>
        <item x="8"/>
        <item x="7"/>
        <item x="9"/>
        <item x="2"/>
        <item x="10"/>
        <item x="5"/>
        <item x="11"/>
        <item x="0"/>
        <item x="4"/>
        <item x="3"/>
        <item x="1"/>
        <item t="default"/>
      </items>
    </pivotField>
    <pivotField showAll="0"/>
  </pivotFields>
  <rowItems count="1">
    <i/>
  </rowItems>
  <colItems count="1">
    <i/>
  </colItems>
  <dataFields count="1">
    <dataField name="Sum of Customer Rating"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9D4F57-D005-441F-BAFB-D3D20F52607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3:L4" firstHeaderRow="1" firstDataRow="1" firstDataCol="0"/>
  <pivotFields count="20">
    <pivotField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showAll="0"/>
    <pivotField showAll="0"/>
    <pivotField showAll="0"/>
    <pivotField showAll="0"/>
    <pivotField dataField="1" showAll="0"/>
    <pivotField showAll="0"/>
    <pivotField showAll="0"/>
    <pivotField showAll="0">
      <items count="7">
        <item x="3"/>
        <item x="4"/>
        <item x="0"/>
        <item x="5"/>
        <item x="1"/>
        <item x="2"/>
        <item t="default"/>
      </items>
    </pivotField>
    <pivotField showAll="0"/>
    <pivotField showAll="0">
      <items count="4">
        <item x="1"/>
        <item x="0"/>
        <item x="2"/>
        <item t="default"/>
      </items>
    </pivotField>
    <pivotField showAll="0" measureFilter="1">
      <items count="13">
        <item x="6"/>
        <item x="8"/>
        <item x="7"/>
        <item x="9"/>
        <item x="2"/>
        <item x="10"/>
        <item x="5"/>
        <item x="11"/>
        <item x="0"/>
        <item x="4"/>
        <item x="3"/>
        <item x="1"/>
        <item t="default"/>
      </items>
    </pivotField>
    <pivotField showAll="0"/>
  </pivotFields>
  <rowItems count="1">
    <i/>
  </rowItems>
  <colItems count="1">
    <i/>
  </colItems>
  <dataFields count="1">
    <dataField name="Sum of Total Sales (INR)"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AC18B9-7C24-4A66-8493-29E97C1B1CA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B25" firstHeaderRow="1" firstDataRow="1" firstDataCol="1"/>
  <pivotFields count="20">
    <pivotField showAll="0"/>
    <pivotField showAll="0"/>
    <pivotField showAll="0"/>
    <pivotField showAll="0">
      <items count="9">
        <item x="0"/>
        <item x="2"/>
        <item x="3"/>
        <item x="4"/>
        <item x="7"/>
        <item x="5"/>
        <item x="6"/>
        <item x="1"/>
        <item t="default"/>
      </items>
    </pivotField>
    <pivotField showAll="0"/>
    <pivotField axis="axisRow" showAll="0">
      <items count="6">
        <item x="2"/>
        <item x="0"/>
        <item x="1"/>
        <item x="3"/>
        <item x="4"/>
        <item t="default"/>
      </items>
    </pivotField>
    <pivotField showAll="0"/>
    <pivotField showAll="0"/>
    <pivotField showAll="0"/>
    <pivotField showAll="0"/>
    <pivotField showAll="0"/>
    <pivotField showAll="0"/>
    <pivotField dataField="1" showAll="0"/>
    <pivotField showAll="0"/>
    <pivotField showAll="0"/>
    <pivotField showAll="0">
      <items count="7">
        <item x="3"/>
        <item x="4"/>
        <item x="0"/>
        <item x="5"/>
        <item x="1"/>
        <item x="2"/>
        <item t="default"/>
      </items>
    </pivotField>
    <pivotField showAll="0"/>
    <pivotField showAll="0">
      <items count="4">
        <item x="1"/>
        <item x="0"/>
        <item x="2"/>
        <item t="default"/>
      </items>
    </pivotField>
    <pivotField showAll="0">
      <items count="13">
        <item x="6"/>
        <item x="8"/>
        <item x="7"/>
        <item x="9"/>
        <item x="2"/>
        <item x="10"/>
        <item x="5"/>
        <item x="11"/>
        <item x="0"/>
        <item x="4"/>
        <item x="3"/>
        <item x="1"/>
        <item t="default"/>
      </items>
    </pivotField>
    <pivotField showAll="0"/>
  </pivotFields>
  <rowFields count="1">
    <field x="5"/>
  </rowFields>
  <rowItems count="6">
    <i>
      <x/>
    </i>
    <i>
      <x v="1"/>
    </i>
    <i>
      <x v="2"/>
    </i>
    <i>
      <x v="3"/>
    </i>
    <i>
      <x v="4"/>
    </i>
    <i t="grand">
      <x/>
    </i>
  </rowItems>
  <colItems count="1">
    <i/>
  </colItems>
  <dataFields count="1">
    <dataField name="Sum of Total Sales (INR)"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460071-E545-47AF-8136-3E4619F7294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3:B70" firstHeaderRow="1" firstDataRow="1" firstDataCol="1"/>
  <pivotFields count="20">
    <pivotField dataField="1"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axis="axisRow" showAll="0">
      <items count="7">
        <item x="3"/>
        <item x="4"/>
        <item x="0"/>
        <item x="5"/>
        <item x="1"/>
        <item x="2"/>
        <item t="default"/>
      </items>
    </pivotField>
    <pivotField showAll="0"/>
    <pivotField showAll="0">
      <items count="4">
        <item x="1"/>
        <item x="0"/>
        <item x="2"/>
        <item t="default"/>
      </items>
    </pivotField>
    <pivotField showAll="0">
      <items count="13">
        <item x="6"/>
        <item x="8"/>
        <item x="7"/>
        <item x="9"/>
        <item x="2"/>
        <item x="10"/>
        <item x="5"/>
        <item x="11"/>
        <item x="0"/>
        <item x="4"/>
        <item x="3"/>
        <item x="1"/>
        <item t="default"/>
      </items>
    </pivotField>
    <pivotField showAll="0"/>
  </pivotFields>
  <rowFields count="1">
    <field x="15"/>
  </rowFields>
  <rowItems count="7">
    <i>
      <x/>
    </i>
    <i>
      <x v="1"/>
    </i>
    <i>
      <x v="2"/>
    </i>
    <i>
      <x v="3"/>
    </i>
    <i>
      <x v="4"/>
    </i>
    <i>
      <x v="5"/>
    </i>
    <i t="grand">
      <x/>
    </i>
  </rowItems>
  <colItems count="1">
    <i/>
  </colItems>
  <dataFields count="1">
    <dataField name="Count of Order ID" fld="0" subtotal="count" baseField="0" baseItem="0"/>
  </dataFields>
  <chartFormats count="14">
    <chartFormat chart="1"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5" count="1" selected="0">
            <x v="0"/>
          </reference>
        </references>
      </pivotArea>
    </chartFormat>
    <chartFormat chart="6" format="10">
      <pivotArea type="data" outline="0" fieldPosition="0">
        <references count="2">
          <reference field="4294967294" count="1" selected="0">
            <x v="0"/>
          </reference>
          <reference field="15" count="1" selected="0">
            <x v="1"/>
          </reference>
        </references>
      </pivotArea>
    </chartFormat>
    <chartFormat chart="6" format="11">
      <pivotArea type="data" outline="0" fieldPosition="0">
        <references count="2">
          <reference field="4294967294" count="1" selected="0">
            <x v="0"/>
          </reference>
          <reference field="15" count="1" selected="0">
            <x v="2"/>
          </reference>
        </references>
      </pivotArea>
    </chartFormat>
    <chartFormat chart="6" format="12">
      <pivotArea type="data" outline="0" fieldPosition="0">
        <references count="2">
          <reference field="4294967294" count="1" selected="0">
            <x v="0"/>
          </reference>
          <reference field="15" count="1" selected="0">
            <x v="3"/>
          </reference>
        </references>
      </pivotArea>
    </chartFormat>
    <chartFormat chart="6" format="13">
      <pivotArea type="data" outline="0" fieldPosition="0">
        <references count="2">
          <reference field="4294967294" count="1" selected="0">
            <x v="0"/>
          </reference>
          <reference field="15" count="1" selected="0">
            <x v="4"/>
          </reference>
        </references>
      </pivotArea>
    </chartFormat>
    <chartFormat chart="6" format="14">
      <pivotArea type="data" outline="0" fieldPosition="0">
        <references count="2">
          <reference field="4294967294" count="1" selected="0">
            <x v="0"/>
          </reference>
          <reference field="15" count="1" selected="0">
            <x v="5"/>
          </reference>
        </references>
      </pivotArea>
    </chartFormat>
    <chartFormat chart="1" format="1">
      <pivotArea type="data" outline="0" fieldPosition="0">
        <references count="2">
          <reference field="4294967294" count="1" selected="0">
            <x v="0"/>
          </reference>
          <reference field="15" count="1" selected="0">
            <x v="0"/>
          </reference>
        </references>
      </pivotArea>
    </chartFormat>
    <chartFormat chart="1" format="2">
      <pivotArea type="data" outline="0" fieldPosition="0">
        <references count="2">
          <reference field="4294967294" count="1" selected="0">
            <x v="0"/>
          </reference>
          <reference field="15" count="1" selected="0">
            <x v="1"/>
          </reference>
        </references>
      </pivotArea>
    </chartFormat>
    <chartFormat chart="1" format="3">
      <pivotArea type="data" outline="0" fieldPosition="0">
        <references count="2">
          <reference field="4294967294" count="1" selected="0">
            <x v="0"/>
          </reference>
          <reference field="15" count="1" selected="0">
            <x v="2"/>
          </reference>
        </references>
      </pivotArea>
    </chartFormat>
    <chartFormat chart="1" format="4">
      <pivotArea type="data" outline="0" fieldPosition="0">
        <references count="2">
          <reference field="4294967294" count="1" selected="0">
            <x v="0"/>
          </reference>
          <reference field="15" count="1" selected="0">
            <x v="3"/>
          </reference>
        </references>
      </pivotArea>
    </chartFormat>
    <chartFormat chart="1" format="5">
      <pivotArea type="data" outline="0" fieldPosition="0">
        <references count="2">
          <reference field="4294967294" count="1" selected="0">
            <x v="0"/>
          </reference>
          <reference field="15" count="1" selected="0">
            <x v="4"/>
          </reference>
        </references>
      </pivotArea>
    </chartFormat>
    <chartFormat chart="1" format="6">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C73F26B-FFCC-4A21-BA88-B064C0398B6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1:B40" firstHeaderRow="1" firstDataRow="1" firstDataCol="1"/>
  <pivotFields count="20">
    <pivotField showAll="0"/>
    <pivotField showAll="0"/>
    <pivotField showAll="0"/>
    <pivotField axis="axisRow" showAll="0">
      <items count="9">
        <item x="0"/>
        <item x="2"/>
        <item x="3"/>
        <item x="4"/>
        <item x="7"/>
        <item x="5"/>
        <item x="6"/>
        <item x="1"/>
        <item t="default"/>
      </items>
    </pivotField>
    <pivotField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dataField="1" showAll="0"/>
    <pivotField showAll="0">
      <items count="7">
        <item x="3"/>
        <item x="4"/>
        <item x="0"/>
        <item x="5"/>
        <item x="1"/>
        <item x="2"/>
        <item t="default"/>
      </items>
    </pivotField>
    <pivotField showAll="0"/>
    <pivotField showAll="0">
      <items count="4">
        <item x="1"/>
        <item x="0"/>
        <item x="2"/>
        <item t="default"/>
      </items>
    </pivotField>
    <pivotField showAll="0">
      <items count="13">
        <item x="6"/>
        <item x="8"/>
        <item x="7"/>
        <item x="9"/>
        <item x="2"/>
        <item x="10"/>
        <item x="5"/>
        <item x="11"/>
        <item x="0"/>
        <item x="4"/>
        <item x="3"/>
        <item x="1"/>
        <item t="default"/>
      </items>
    </pivotField>
    <pivotField showAll="0"/>
  </pivotFields>
  <rowFields count="1">
    <field x="3"/>
  </rowFields>
  <rowItems count="9">
    <i>
      <x/>
    </i>
    <i>
      <x v="1"/>
    </i>
    <i>
      <x v="2"/>
    </i>
    <i>
      <x v="3"/>
    </i>
    <i>
      <x v="4"/>
    </i>
    <i>
      <x v="5"/>
    </i>
    <i>
      <x v="6"/>
    </i>
    <i>
      <x v="7"/>
    </i>
    <i t="grand">
      <x/>
    </i>
  </rowItems>
  <colItems count="1">
    <i/>
  </colItems>
  <dataFields count="1">
    <dataField name="Sum of Profit (INR)" fld="1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E8B4428-31F5-4862-B266-82FF5D4387C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6:B57" firstHeaderRow="1" firstDataRow="1" firstDataCol="1"/>
  <pivotFields count="20">
    <pivotField showAll="0"/>
    <pivotField showAll="0"/>
    <pivotField showAll="0"/>
    <pivotField showAll="0">
      <items count="9">
        <item x="0"/>
        <item x="2"/>
        <item x="3"/>
        <item x="4"/>
        <item x="7"/>
        <item x="5"/>
        <item x="6"/>
        <item x="1"/>
        <item t="default"/>
      </items>
    </pivotField>
    <pivotField showAll="0"/>
    <pivotField showAll="0">
      <items count="6">
        <item x="2"/>
        <item x="0"/>
        <item x="1"/>
        <item x="3"/>
        <item x="4"/>
        <item t="default"/>
      </items>
    </pivotField>
    <pivotField showAll="0"/>
    <pivotField axis="axisRow" showAll="0" measureFilter="1" sortType="descending">
      <items count="26">
        <item x="16"/>
        <item x="13"/>
        <item x="14"/>
        <item x="4"/>
        <item x="24"/>
        <item x="0"/>
        <item x="2"/>
        <item x="21"/>
        <item x="17"/>
        <item x="20"/>
        <item x="8"/>
        <item x="1"/>
        <item x="18"/>
        <item x="11"/>
        <item x="5"/>
        <item x="10"/>
        <item x="22"/>
        <item x="19"/>
        <item x="12"/>
        <item x="3"/>
        <item x="6"/>
        <item x="23"/>
        <item x="7"/>
        <item x="9"/>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items count="7">
        <item x="3"/>
        <item x="4"/>
        <item x="0"/>
        <item x="5"/>
        <item x="1"/>
        <item x="2"/>
        <item t="default"/>
      </items>
    </pivotField>
    <pivotField showAll="0"/>
    <pivotField showAll="0">
      <items count="4">
        <item x="1"/>
        <item x="0"/>
        <item x="2"/>
        <item t="default"/>
      </items>
    </pivotField>
    <pivotField showAll="0">
      <items count="13">
        <item x="6"/>
        <item x="8"/>
        <item x="7"/>
        <item x="9"/>
        <item x="2"/>
        <item x="10"/>
        <item x="5"/>
        <item x="11"/>
        <item x="0"/>
        <item x="4"/>
        <item x="3"/>
        <item x="1"/>
        <item t="default"/>
      </items>
    </pivotField>
    <pivotField showAll="0"/>
  </pivotFields>
  <rowFields count="1">
    <field x="7"/>
  </rowFields>
  <rowItems count="11">
    <i>
      <x v="5"/>
    </i>
    <i>
      <x v="12"/>
    </i>
    <i>
      <x v="22"/>
    </i>
    <i>
      <x v="9"/>
    </i>
    <i>
      <x v="11"/>
    </i>
    <i>
      <x v="19"/>
    </i>
    <i>
      <x v="6"/>
    </i>
    <i>
      <x v="15"/>
    </i>
    <i>
      <x v="7"/>
    </i>
    <i>
      <x v="10"/>
    </i>
    <i t="grand">
      <x/>
    </i>
  </rowItems>
  <colItems count="1">
    <i/>
  </colItems>
  <dataFields count="1">
    <dataField name="Sum of Total Sales (INR)" fld="12"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E4D288D-DAAA-418B-80A8-04620026D98C}" sourceName="State">
  <pivotTables>
    <pivotTable tabId="2" name="PivotTable15"/>
    <pivotTable tabId="2" name="PivotTable10"/>
    <pivotTable tabId="2" name="PivotTable11"/>
    <pivotTable tabId="2" name="PivotTable12"/>
    <pivotTable tabId="2" name="PivotTable13"/>
    <pivotTable tabId="2" name="PivotTable14"/>
    <pivotTable tabId="2" name="PivotTable8"/>
    <pivotTable tabId="2" name="PivotTable9"/>
    <pivotTable tabId="2" name="PivotTable16"/>
    <pivotTable tabId="2" name="PivotTable17"/>
    <pivotTable tabId="2" name="PivotTable18"/>
    <pivotTable tabId="2" name="PivotTable19"/>
    <pivotTable tabId="2" name="PivotTable1"/>
  </pivotTables>
  <data>
    <tabular pivotCacheId="1810342889">
      <items count="8">
        <i x="0" s="1"/>
        <i x="2" s="1"/>
        <i x="3" s="1"/>
        <i x="4" s="1"/>
        <i x="7" s="1"/>
        <i x="5"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990E9B-988D-4B81-9D8A-651E8DD23C12}" sourceName="Category">
  <pivotTables>
    <pivotTable tabId="2" name="PivotTable15"/>
    <pivotTable tabId="2" name="PivotTable10"/>
    <pivotTable tabId="2" name="PivotTable11"/>
    <pivotTable tabId="2" name="PivotTable12"/>
    <pivotTable tabId="2" name="PivotTable13"/>
    <pivotTable tabId="2" name="PivotTable14"/>
    <pivotTable tabId="2" name="PivotTable8"/>
    <pivotTable tabId="2" name="PivotTable9"/>
    <pivotTable tabId="2" name="PivotTable16"/>
    <pivotTable tabId="2" name="PivotTable17"/>
    <pivotTable tabId="2" name="PivotTable18"/>
    <pivotTable tabId="2" name="PivotTable19"/>
    <pivotTable tabId="2" name="PivotTable1"/>
  </pivotTables>
  <data>
    <tabular pivotCacheId="1810342889">
      <items count="5">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756C0CA-2FD1-4E22-8DF9-A4FC4CFD368A}" sourceName="Payment Method">
  <pivotTables>
    <pivotTable tabId="2" name="PivotTable15"/>
    <pivotTable tabId="2" name="PivotTable10"/>
    <pivotTable tabId="2" name="PivotTable11"/>
    <pivotTable tabId="2" name="PivotTable12"/>
    <pivotTable tabId="2" name="PivotTable13"/>
    <pivotTable tabId="2" name="PivotTable14"/>
    <pivotTable tabId="2" name="PivotTable8"/>
    <pivotTable tabId="2" name="PivotTable9"/>
    <pivotTable tabId="2" name="PivotTable16"/>
    <pivotTable tabId="2" name="PivotTable17"/>
    <pivotTable tabId="2" name="PivotTable18"/>
    <pivotTable tabId="2" name="PivotTable19"/>
    <pivotTable tabId="2" name="PivotTable1"/>
  </pivotTables>
  <data>
    <tabular pivotCacheId="1810342889">
      <items count="6">
        <i x="3" s="1"/>
        <i x="4" s="1"/>
        <i x="0" s="1"/>
        <i x="5"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A1E0EFE-6653-4542-A137-3364DE77C42F}" sourceName="Delivery Status">
  <pivotTables>
    <pivotTable tabId="2" name="PivotTable15"/>
    <pivotTable tabId="2" name="PivotTable10"/>
    <pivotTable tabId="2" name="PivotTable11"/>
    <pivotTable tabId="2" name="PivotTable12"/>
    <pivotTable tabId="2" name="PivotTable13"/>
    <pivotTable tabId="2" name="PivotTable14"/>
    <pivotTable tabId="2" name="PivotTable8"/>
    <pivotTable tabId="2" name="PivotTable9"/>
    <pivotTable tabId="2" name="PivotTable16"/>
    <pivotTable tabId="2" name="PivotTable17"/>
    <pivotTable tabId="2" name="PivotTable18"/>
    <pivotTable tabId="2" name="PivotTable19"/>
    <pivotTable tabId="2" name="PivotTable1"/>
  </pivotTables>
  <data>
    <tabular pivotCacheId="1810342889">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2458CAC-B31C-4717-A002-0CFA9BCEF57B}" sourceName="Month">
  <pivotTables>
    <pivotTable tabId="2" name="PivotTable15"/>
    <pivotTable tabId="2" name="PivotTable10"/>
    <pivotTable tabId="2" name="PivotTable11"/>
    <pivotTable tabId="2" name="PivotTable12"/>
    <pivotTable tabId="2" name="PivotTable13"/>
    <pivotTable tabId="2" name="PivotTable14"/>
    <pivotTable tabId="2" name="PivotTable8"/>
    <pivotTable tabId="2" name="PivotTable9"/>
    <pivotTable tabId="2" name="PivotTable16"/>
    <pivotTable tabId="2" name="PivotTable17"/>
    <pivotTable tabId="2" name="PivotTable18"/>
    <pivotTable tabId="2" name="PivotTable19"/>
    <pivotTable tabId="2" name="PivotTable1"/>
  </pivotTables>
  <data>
    <tabular pivotCacheId="1810342889">
      <items count="12">
        <i x="6" s="1"/>
        <i x="8" s="1"/>
        <i x="7" s="1"/>
        <i x="9" s="1"/>
        <i x="2" s="1"/>
        <i x="10" s="1"/>
        <i x="5" s="1"/>
        <i x="11" s="1"/>
        <i x="0" s="1"/>
        <i x="4"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1779C56-247C-4FDF-94B9-FE01EBF8AFD2}" sourceName="Year">
  <pivotTables>
    <pivotTable tabId="2" name="PivotTable15"/>
  </pivotTables>
  <data>
    <tabular pivotCacheId="181034288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93CAFDD-3495-4706-B82E-E5B0489CCBB8}" cache="Slicer_State" caption="State" rowHeight="234950"/>
  <slicer name="Category" xr10:uid="{98BE46E6-13D8-49CB-A3CE-6BE2C6E3D53A}" cache="Slicer_Category" caption="Category" rowHeight="234950"/>
  <slicer name="Payment Method" xr10:uid="{0A3D997E-8F77-4486-8192-2F81178CB216}" cache="Slicer_Payment_Method" caption="Payment Method" rowHeight="234950"/>
  <slicer name="Delivery Status" xr10:uid="{0009447E-DD96-4CD9-82D6-DCCA9E7D1041}" cache="Slicer_Delivery_Status" caption="Delivery Status" rowHeight="234950"/>
  <slicer name="Month" xr10:uid="{06C992C8-B7D4-4D8E-BC9D-69954F6B4901}" cache="Slicer_Month" caption="Month" rowHeight="234950"/>
  <slicer name="Year" xr10:uid="{C8A966C6-F259-4D4C-9A0D-8FD7313C092C}"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7B95A96C-EC7A-4BAF-8C92-F795AA0D453A}" cache="Slicer_State" caption="State" style="SlicerStyleOther2" rowHeight="234950"/>
  <slicer name="Category 1" xr10:uid="{25A913C2-5C17-4179-B25B-8A4F7C3FA3E6}" cache="Slicer_Category" caption="Category" style="SlicerStyleOther2" rowHeight="234950"/>
  <slicer name="Payment Method 1" xr10:uid="{046A77BB-34C9-4DCB-9EC0-1A9EF38785ED}" cache="Slicer_Payment_Method" caption="Payment Method" style="SlicerStyleOther2" rowHeight="234950"/>
  <slicer name="Delivery Status 1" xr10:uid="{4EF7B78A-DB19-4852-A86D-F3ECA49833B2}" cache="Slicer_Delivery_Status" caption="Delivery Status"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658453-58FF-4997-B94F-4D80471F4520}" name="Table1" displayName="Table1" ref="A1:T1001" totalsRowShown="0" headerRowDxfId="23" dataDxfId="21" headerRowBorderDxfId="22" tableBorderDxfId="20">
  <autoFilter ref="A1:T1001" xr:uid="{6E658453-58FF-4997-B94F-4D80471F4520}"/>
  <tableColumns count="20">
    <tableColumn id="1" xr3:uid="{49CC84AE-B9DC-4140-9EE6-8300B5B4D99D}" name="Order ID" dataDxfId="19"/>
    <tableColumn id="2" xr3:uid="{D3B71A94-C7F4-4BBF-A50C-E22E8CE3431D}" name="Order Date" dataDxfId="18"/>
    <tableColumn id="3" xr3:uid="{6584E0DC-2A3F-4F3E-9DB2-D67333DB4D17}" name="Customer Name" dataDxfId="17"/>
    <tableColumn id="4" xr3:uid="{5C02B0AE-ED32-4F55-9F74-FA07540C686C}" name="State" dataDxfId="16"/>
    <tableColumn id="5" xr3:uid="{9A6D31C6-9FF5-4794-98C6-EF3AB88E300A}" name="City" dataDxfId="15"/>
    <tableColumn id="6" xr3:uid="{77D0E176-AC4A-445A-A1FA-2E2887B4C770}" name="Category" dataDxfId="14"/>
    <tableColumn id="7" xr3:uid="{2ECF7D31-0135-46C5-B63E-2504BC9D000A}" name="Sub-Category" dataDxfId="13"/>
    <tableColumn id="8" xr3:uid="{28B6452E-B8EB-482A-B42C-23D87792960B}" name="Product Name" dataDxfId="12"/>
    <tableColumn id="9" xr3:uid="{260BA8EB-EFF5-4169-BF58-F7469486882D}" name="Brand" dataDxfId="11"/>
    <tableColumn id="10" xr3:uid="{F9743021-DC32-44AD-B7A6-7F58B169B733}" name="Quantity Sold" dataDxfId="10"/>
    <tableColumn id="11" xr3:uid="{BB807273-10D5-4A27-9D3A-8F951801A4E9}" name="Price (INR)" dataDxfId="9"/>
    <tableColumn id="12" xr3:uid="{95188B43-15EC-46A8-AA73-07889A82223E}" name="Discount %" dataDxfId="8"/>
    <tableColumn id="13" xr3:uid="{72247423-AC4C-4C5C-8BB2-B480F13F06B8}" name="Total Sales (INR)" dataDxfId="7"/>
    <tableColumn id="14" xr3:uid="{6BA6E215-C425-4038-AC30-14A31F2D825E}" name="Cost Price (INR)" dataDxfId="6"/>
    <tableColumn id="15" xr3:uid="{0A8BEE10-58DA-47F2-8E3B-EACA716747A1}" name="Profit (INR)" dataDxfId="5"/>
    <tableColumn id="16" xr3:uid="{B2A3B10B-6DA9-442B-81AF-ADFED362D8E1}" name="Payment Method" dataDxfId="4"/>
    <tableColumn id="17" xr3:uid="{CF962879-5C49-4DF5-834E-2D84BE38CE38}" name="Customer Rating" dataDxfId="3"/>
    <tableColumn id="18" xr3:uid="{B300447B-5AB2-4755-94E1-04178660D56D}" name="Delivery Status" dataDxfId="2"/>
    <tableColumn id="19" xr3:uid="{0A118353-DF22-4DF4-91F5-2C77877FD701}" name="Month" dataDxfId="1"/>
    <tableColumn id="20" xr3:uid="{A9016287-1A29-4123-A5D4-00503A40ED4A}" name="Year"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1"/>
  <sheetViews>
    <sheetView topLeftCell="A2" workbookViewId="0">
      <selection sqref="A1:T1001"/>
    </sheetView>
  </sheetViews>
  <sheetFormatPr defaultRowHeight="14.4" x14ac:dyDescent="0.3"/>
  <cols>
    <col min="1" max="1" width="9.88671875" customWidth="1"/>
    <col min="2" max="2" width="12" customWidth="1"/>
    <col min="3" max="3" width="16.44140625" customWidth="1"/>
    <col min="6" max="6" width="10.44140625" customWidth="1"/>
    <col min="7" max="7" width="14.33203125" customWidth="1"/>
    <col min="8" max="8" width="15" customWidth="1"/>
    <col min="10" max="10" width="14.33203125" customWidth="1"/>
    <col min="11" max="11" width="11.77734375" customWidth="1"/>
    <col min="12" max="12" width="12.109375" customWidth="1"/>
    <col min="13" max="13" width="16.5546875" customWidth="1"/>
    <col min="14" max="14" width="15.88671875" customWidth="1"/>
    <col min="15" max="15" width="12.33203125" customWidth="1"/>
    <col min="16" max="16" width="17.6640625" customWidth="1"/>
    <col min="17" max="17" width="16.77734375" customWidth="1"/>
    <col min="18" max="18" width="15.33203125" customWidth="1"/>
    <col min="20" max="20" width="11"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21</v>
      </c>
      <c r="C2" t="s">
        <v>22</v>
      </c>
      <c r="D2" t="s">
        <v>23</v>
      </c>
      <c r="E2" t="s">
        <v>24</v>
      </c>
      <c r="F2" t="s">
        <v>25</v>
      </c>
      <c r="G2" t="s">
        <v>26</v>
      </c>
      <c r="H2" t="s">
        <v>27</v>
      </c>
      <c r="I2" t="s">
        <v>28</v>
      </c>
      <c r="J2">
        <v>2</v>
      </c>
      <c r="K2">
        <v>49069.56</v>
      </c>
      <c r="L2">
        <v>15</v>
      </c>
      <c r="M2">
        <v>98139.12</v>
      </c>
      <c r="N2">
        <v>76109.429999999993</v>
      </c>
      <c r="O2">
        <v>22029.69</v>
      </c>
      <c r="P2" t="s">
        <v>29</v>
      </c>
      <c r="Q2">
        <v>3.5</v>
      </c>
      <c r="R2" t="s">
        <v>30</v>
      </c>
      <c r="S2" t="s">
        <v>31</v>
      </c>
      <c r="T2">
        <v>2024</v>
      </c>
    </row>
    <row r="3" spans="1:20" x14ac:dyDescent="0.3">
      <c r="A3" t="s">
        <v>32</v>
      </c>
      <c r="B3" t="s">
        <v>33</v>
      </c>
      <c r="C3" t="s">
        <v>34</v>
      </c>
      <c r="D3" t="s">
        <v>35</v>
      </c>
      <c r="E3" t="s">
        <v>36</v>
      </c>
      <c r="F3" t="s">
        <v>37</v>
      </c>
      <c r="G3" t="s">
        <v>38</v>
      </c>
      <c r="H3" t="s">
        <v>39</v>
      </c>
      <c r="I3" t="s">
        <v>40</v>
      </c>
      <c r="J3">
        <v>4</v>
      </c>
      <c r="K3">
        <v>12755.85</v>
      </c>
      <c r="L3">
        <v>5</v>
      </c>
      <c r="M3">
        <v>51023.4</v>
      </c>
      <c r="N3">
        <v>38280.589999999997</v>
      </c>
      <c r="O3">
        <v>12742.81</v>
      </c>
      <c r="P3" t="s">
        <v>41</v>
      </c>
      <c r="Q3">
        <v>3.9</v>
      </c>
      <c r="R3" t="s">
        <v>30</v>
      </c>
      <c r="S3" t="s">
        <v>42</v>
      </c>
      <c r="T3">
        <v>2024</v>
      </c>
    </row>
    <row r="4" spans="1:20" x14ac:dyDescent="0.3">
      <c r="A4" t="s">
        <v>43</v>
      </c>
      <c r="B4" t="s">
        <v>44</v>
      </c>
      <c r="C4" t="s">
        <v>22</v>
      </c>
      <c r="D4" t="s">
        <v>23</v>
      </c>
      <c r="E4" t="s">
        <v>24</v>
      </c>
      <c r="F4" t="s">
        <v>45</v>
      </c>
      <c r="G4" t="s">
        <v>46</v>
      </c>
      <c r="H4" t="s">
        <v>47</v>
      </c>
      <c r="I4" t="s">
        <v>48</v>
      </c>
      <c r="J4">
        <v>4</v>
      </c>
      <c r="K4">
        <v>11092.19</v>
      </c>
      <c r="L4">
        <v>5</v>
      </c>
      <c r="M4">
        <v>44368.76</v>
      </c>
      <c r="N4">
        <v>32920.22</v>
      </c>
      <c r="O4">
        <v>11448.54</v>
      </c>
      <c r="P4" t="s">
        <v>29</v>
      </c>
      <c r="Q4">
        <v>4.4000000000000004</v>
      </c>
      <c r="R4" t="s">
        <v>30</v>
      </c>
      <c r="S4" t="s">
        <v>49</v>
      </c>
      <c r="T4">
        <v>2024</v>
      </c>
    </row>
    <row r="5" spans="1:20" x14ac:dyDescent="0.3">
      <c r="A5" t="s">
        <v>50</v>
      </c>
      <c r="B5" t="s">
        <v>51</v>
      </c>
      <c r="C5" t="s">
        <v>34</v>
      </c>
      <c r="D5" t="s">
        <v>52</v>
      </c>
      <c r="E5" t="s">
        <v>53</v>
      </c>
      <c r="F5" t="s">
        <v>54</v>
      </c>
      <c r="G5" t="s">
        <v>55</v>
      </c>
      <c r="H5" t="s">
        <v>56</v>
      </c>
      <c r="I5" t="s">
        <v>57</v>
      </c>
      <c r="J5">
        <v>1</v>
      </c>
      <c r="K5">
        <v>32657.81</v>
      </c>
      <c r="L5">
        <v>25</v>
      </c>
      <c r="M5">
        <v>32657.81</v>
      </c>
      <c r="N5">
        <v>27341.64</v>
      </c>
      <c r="O5">
        <v>5316.17</v>
      </c>
      <c r="P5" t="s">
        <v>29</v>
      </c>
      <c r="Q5">
        <v>3.2</v>
      </c>
      <c r="R5" t="s">
        <v>30</v>
      </c>
      <c r="S5" t="s">
        <v>58</v>
      </c>
      <c r="T5">
        <v>2024</v>
      </c>
    </row>
    <row r="6" spans="1:20" x14ac:dyDescent="0.3">
      <c r="A6" t="s">
        <v>59</v>
      </c>
      <c r="B6" t="s">
        <v>60</v>
      </c>
      <c r="C6" t="s">
        <v>61</v>
      </c>
      <c r="D6" t="s">
        <v>35</v>
      </c>
      <c r="E6" t="s">
        <v>36</v>
      </c>
      <c r="F6" t="s">
        <v>62</v>
      </c>
      <c r="G6" t="s">
        <v>63</v>
      </c>
      <c r="H6" t="s">
        <v>64</v>
      </c>
      <c r="I6" t="s">
        <v>65</v>
      </c>
      <c r="J6">
        <v>3</v>
      </c>
      <c r="K6">
        <v>26590.080000000002</v>
      </c>
      <c r="L6">
        <v>10</v>
      </c>
      <c r="M6">
        <v>79770.240000000005</v>
      </c>
      <c r="N6">
        <v>52735.199999999997</v>
      </c>
      <c r="O6">
        <v>27035.040000000001</v>
      </c>
      <c r="P6" t="s">
        <v>41</v>
      </c>
      <c r="Q6">
        <v>3.1</v>
      </c>
      <c r="R6" t="s">
        <v>66</v>
      </c>
      <c r="S6" t="s">
        <v>42</v>
      </c>
      <c r="T6">
        <v>2024</v>
      </c>
    </row>
    <row r="7" spans="1:20" x14ac:dyDescent="0.3">
      <c r="A7" t="s">
        <v>67</v>
      </c>
      <c r="B7" t="s">
        <v>68</v>
      </c>
      <c r="C7" t="s">
        <v>61</v>
      </c>
      <c r="D7" t="s">
        <v>69</v>
      </c>
      <c r="E7" t="s">
        <v>70</v>
      </c>
      <c r="F7" t="s">
        <v>62</v>
      </c>
      <c r="G7" t="s">
        <v>71</v>
      </c>
      <c r="H7" t="s">
        <v>72</v>
      </c>
      <c r="I7" t="s">
        <v>65</v>
      </c>
      <c r="J7">
        <v>2</v>
      </c>
      <c r="K7">
        <v>10475.030000000001</v>
      </c>
      <c r="L7">
        <v>15</v>
      </c>
      <c r="M7">
        <v>20950.060000000001</v>
      </c>
      <c r="N7">
        <v>16532.169999999998</v>
      </c>
      <c r="O7">
        <v>4417.8900000000003</v>
      </c>
      <c r="P7" t="s">
        <v>73</v>
      </c>
      <c r="Q7">
        <v>1.7</v>
      </c>
      <c r="R7" t="s">
        <v>30</v>
      </c>
      <c r="S7" t="s">
        <v>74</v>
      </c>
      <c r="T7">
        <v>2024</v>
      </c>
    </row>
    <row r="8" spans="1:20" x14ac:dyDescent="0.3">
      <c r="A8" t="s">
        <v>75</v>
      </c>
      <c r="B8" t="s">
        <v>76</v>
      </c>
      <c r="C8" t="s">
        <v>61</v>
      </c>
      <c r="D8" t="s">
        <v>23</v>
      </c>
      <c r="E8" t="s">
        <v>24</v>
      </c>
      <c r="F8" t="s">
        <v>37</v>
      </c>
      <c r="G8" t="s">
        <v>38</v>
      </c>
      <c r="H8" t="s">
        <v>77</v>
      </c>
      <c r="I8" t="s">
        <v>40</v>
      </c>
      <c r="J8">
        <v>3</v>
      </c>
      <c r="K8">
        <v>38647.72</v>
      </c>
      <c r="L8">
        <v>10</v>
      </c>
      <c r="M8">
        <v>115943.16</v>
      </c>
      <c r="N8">
        <v>87482.19</v>
      </c>
      <c r="O8">
        <v>28460.97</v>
      </c>
      <c r="P8" t="s">
        <v>73</v>
      </c>
      <c r="Q8">
        <v>2</v>
      </c>
      <c r="R8" t="s">
        <v>30</v>
      </c>
      <c r="S8" t="s">
        <v>78</v>
      </c>
      <c r="T8">
        <v>2024</v>
      </c>
    </row>
    <row r="9" spans="1:20" x14ac:dyDescent="0.3">
      <c r="A9" t="s">
        <v>79</v>
      </c>
      <c r="B9" t="s">
        <v>60</v>
      </c>
      <c r="C9" t="s">
        <v>80</v>
      </c>
      <c r="D9" t="s">
        <v>81</v>
      </c>
      <c r="E9" t="s">
        <v>82</v>
      </c>
      <c r="F9" t="s">
        <v>62</v>
      </c>
      <c r="G9" t="s">
        <v>63</v>
      </c>
      <c r="H9" t="s">
        <v>83</v>
      </c>
      <c r="I9" t="s">
        <v>65</v>
      </c>
      <c r="J9">
        <v>3</v>
      </c>
      <c r="K9">
        <v>24818.59</v>
      </c>
      <c r="L9">
        <v>20</v>
      </c>
      <c r="M9">
        <v>74455.77</v>
      </c>
      <c r="N9">
        <v>55213.31</v>
      </c>
      <c r="O9">
        <v>19242.46</v>
      </c>
      <c r="P9" t="s">
        <v>29</v>
      </c>
      <c r="Q9">
        <v>2.4</v>
      </c>
      <c r="R9" t="s">
        <v>30</v>
      </c>
      <c r="S9" t="s">
        <v>42</v>
      </c>
      <c r="T9">
        <v>2024</v>
      </c>
    </row>
    <row r="10" spans="1:20" x14ac:dyDescent="0.3">
      <c r="A10" t="s">
        <v>84</v>
      </c>
      <c r="B10" t="s">
        <v>85</v>
      </c>
      <c r="C10" t="s">
        <v>34</v>
      </c>
      <c r="D10" t="s">
        <v>23</v>
      </c>
      <c r="E10" t="s">
        <v>24</v>
      </c>
      <c r="F10" t="s">
        <v>37</v>
      </c>
      <c r="G10" t="s">
        <v>38</v>
      </c>
      <c r="H10" t="s">
        <v>86</v>
      </c>
      <c r="I10" t="s">
        <v>40</v>
      </c>
      <c r="J10">
        <v>2</v>
      </c>
      <c r="K10">
        <v>1987.39</v>
      </c>
      <c r="L10">
        <v>30</v>
      </c>
      <c r="M10">
        <v>3974.78</v>
      </c>
      <c r="N10">
        <v>2915.6</v>
      </c>
      <c r="O10">
        <v>1059.18</v>
      </c>
      <c r="P10" t="s">
        <v>29</v>
      </c>
      <c r="Q10">
        <v>2.6</v>
      </c>
      <c r="R10" t="s">
        <v>30</v>
      </c>
      <c r="S10" t="s">
        <v>87</v>
      </c>
      <c r="T10">
        <v>2025</v>
      </c>
    </row>
    <row r="11" spans="1:20" x14ac:dyDescent="0.3">
      <c r="A11" t="s">
        <v>88</v>
      </c>
      <c r="B11" t="s">
        <v>89</v>
      </c>
      <c r="C11" t="s">
        <v>90</v>
      </c>
      <c r="D11" t="s">
        <v>69</v>
      </c>
      <c r="E11" t="s">
        <v>70</v>
      </c>
      <c r="F11" t="s">
        <v>54</v>
      </c>
      <c r="G11" t="s">
        <v>91</v>
      </c>
      <c r="H11" t="s">
        <v>92</v>
      </c>
      <c r="I11" t="s">
        <v>93</v>
      </c>
      <c r="J11">
        <v>2</v>
      </c>
      <c r="K11">
        <v>26876.51</v>
      </c>
      <c r="L11">
        <v>5</v>
      </c>
      <c r="M11">
        <v>53753.02</v>
      </c>
      <c r="N11">
        <v>37397.99</v>
      </c>
      <c r="O11">
        <v>16355.03</v>
      </c>
      <c r="P11" t="s">
        <v>29</v>
      </c>
      <c r="Q11">
        <v>4</v>
      </c>
      <c r="R11" t="s">
        <v>30</v>
      </c>
      <c r="S11" t="s">
        <v>94</v>
      </c>
      <c r="T11">
        <v>2024</v>
      </c>
    </row>
    <row r="12" spans="1:20" x14ac:dyDescent="0.3">
      <c r="A12" t="s">
        <v>95</v>
      </c>
      <c r="B12" t="s">
        <v>96</v>
      </c>
      <c r="C12" t="s">
        <v>97</v>
      </c>
      <c r="D12" t="s">
        <v>98</v>
      </c>
      <c r="E12" t="s">
        <v>99</v>
      </c>
      <c r="F12" t="s">
        <v>45</v>
      </c>
      <c r="G12" t="s">
        <v>46</v>
      </c>
      <c r="H12" t="s">
        <v>100</v>
      </c>
      <c r="I12" t="s">
        <v>101</v>
      </c>
      <c r="J12">
        <v>5</v>
      </c>
      <c r="K12">
        <v>46409.57</v>
      </c>
      <c r="L12">
        <v>15</v>
      </c>
      <c r="M12">
        <v>232047.85</v>
      </c>
      <c r="N12">
        <v>185694.16</v>
      </c>
      <c r="O12">
        <v>46353.69</v>
      </c>
      <c r="P12" t="s">
        <v>41</v>
      </c>
      <c r="Q12">
        <v>2.2999999999999998</v>
      </c>
      <c r="R12" t="s">
        <v>30</v>
      </c>
      <c r="S12" t="s">
        <v>102</v>
      </c>
      <c r="T12">
        <v>2025</v>
      </c>
    </row>
    <row r="13" spans="1:20" x14ac:dyDescent="0.3">
      <c r="A13" t="s">
        <v>103</v>
      </c>
      <c r="B13" t="s">
        <v>104</v>
      </c>
      <c r="C13" t="s">
        <v>97</v>
      </c>
      <c r="D13" t="s">
        <v>23</v>
      </c>
      <c r="E13" t="s">
        <v>24</v>
      </c>
      <c r="F13" t="s">
        <v>45</v>
      </c>
      <c r="G13" t="s">
        <v>105</v>
      </c>
      <c r="H13" t="s">
        <v>106</v>
      </c>
      <c r="I13" t="s">
        <v>48</v>
      </c>
      <c r="J13">
        <v>5</v>
      </c>
      <c r="K13">
        <v>48780.78</v>
      </c>
      <c r="L13">
        <v>25</v>
      </c>
      <c r="M13">
        <v>243903.9</v>
      </c>
      <c r="N13">
        <v>180136.89</v>
      </c>
      <c r="O13">
        <v>63767.01</v>
      </c>
      <c r="P13" t="s">
        <v>41</v>
      </c>
      <c r="Q13">
        <v>1.3</v>
      </c>
      <c r="R13" t="s">
        <v>30</v>
      </c>
      <c r="S13" t="s">
        <v>107</v>
      </c>
      <c r="T13">
        <v>2024</v>
      </c>
    </row>
    <row r="14" spans="1:20" x14ac:dyDescent="0.3">
      <c r="A14" t="s">
        <v>108</v>
      </c>
      <c r="B14" t="s">
        <v>109</v>
      </c>
      <c r="C14" t="s">
        <v>80</v>
      </c>
      <c r="D14" t="s">
        <v>52</v>
      </c>
      <c r="E14" t="s">
        <v>110</v>
      </c>
      <c r="F14" t="s">
        <v>25</v>
      </c>
      <c r="G14" t="s">
        <v>111</v>
      </c>
      <c r="H14" t="s">
        <v>27</v>
      </c>
      <c r="I14" t="s">
        <v>112</v>
      </c>
      <c r="J14">
        <v>5</v>
      </c>
      <c r="K14">
        <v>6670.82</v>
      </c>
      <c r="L14">
        <v>20</v>
      </c>
      <c r="M14">
        <v>33354.1</v>
      </c>
      <c r="N14">
        <v>25692.82</v>
      </c>
      <c r="O14">
        <v>7661.28</v>
      </c>
      <c r="P14" t="s">
        <v>113</v>
      </c>
      <c r="Q14">
        <v>1.2</v>
      </c>
      <c r="R14" t="s">
        <v>30</v>
      </c>
      <c r="S14" t="s">
        <v>102</v>
      </c>
      <c r="T14">
        <v>2024</v>
      </c>
    </row>
    <row r="15" spans="1:20" x14ac:dyDescent="0.3">
      <c r="A15" t="s">
        <v>114</v>
      </c>
      <c r="B15" t="s">
        <v>115</v>
      </c>
      <c r="C15" t="s">
        <v>116</v>
      </c>
      <c r="D15" t="s">
        <v>98</v>
      </c>
      <c r="E15" t="s">
        <v>99</v>
      </c>
      <c r="F15" t="s">
        <v>54</v>
      </c>
      <c r="G15" t="s">
        <v>91</v>
      </c>
      <c r="H15" t="s">
        <v>117</v>
      </c>
      <c r="I15" t="s">
        <v>118</v>
      </c>
      <c r="J15">
        <v>1</v>
      </c>
      <c r="K15">
        <v>10826.05</v>
      </c>
      <c r="L15">
        <v>20</v>
      </c>
      <c r="M15">
        <v>10826.05</v>
      </c>
      <c r="N15">
        <v>7529.1</v>
      </c>
      <c r="O15">
        <v>3296.95</v>
      </c>
      <c r="P15" t="s">
        <v>73</v>
      </c>
      <c r="Q15">
        <v>3.7</v>
      </c>
      <c r="R15" t="s">
        <v>30</v>
      </c>
      <c r="S15" t="s">
        <v>119</v>
      </c>
      <c r="T15">
        <v>2024</v>
      </c>
    </row>
    <row r="16" spans="1:20" x14ac:dyDescent="0.3">
      <c r="A16" t="s">
        <v>120</v>
      </c>
      <c r="B16" t="s">
        <v>21</v>
      </c>
      <c r="C16" t="s">
        <v>61</v>
      </c>
      <c r="D16" t="s">
        <v>98</v>
      </c>
      <c r="E16" t="s">
        <v>99</v>
      </c>
      <c r="F16" t="s">
        <v>25</v>
      </c>
      <c r="G16" t="s">
        <v>26</v>
      </c>
      <c r="H16" t="s">
        <v>121</v>
      </c>
      <c r="I16" t="s">
        <v>112</v>
      </c>
      <c r="J16">
        <v>1</v>
      </c>
      <c r="K16">
        <v>6839.1</v>
      </c>
      <c r="L16">
        <v>15</v>
      </c>
      <c r="M16">
        <v>6839.1</v>
      </c>
      <c r="N16">
        <v>4778.3900000000003</v>
      </c>
      <c r="O16">
        <v>2060.71</v>
      </c>
      <c r="P16" t="s">
        <v>122</v>
      </c>
      <c r="Q16">
        <v>1.6</v>
      </c>
      <c r="R16" t="s">
        <v>30</v>
      </c>
      <c r="S16" t="s">
        <v>31</v>
      </c>
      <c r="T16">
        <v>2024</v>
      </c>
    </row>
    <row r="17" spans="1:20" x14ac:dyDescent="0.3">
      <c r="A17" t="s">
        <v>123</v>
      </c>
      <c r="B17" t="s">
        <v>124</v>
      </c>
      <c r="C17" t="s">
        <v>116</v>
      </c>
      <c r="D17" t="s">
        <v>125</v>
      </c>
      <c r="E17" t="s">
        <v>126</v>
      </c>
      <c r="F17" t="s">
        <v>62</v>
      </c>
      <c r="G17" t="s">
        <v>63</v>
      </c>
      <c r="H17" t="s">
        <v>72</v>
      </c>
      <c r="I17" t="s">
        <v>65</v>
      </c>
      <c r="J17">
        <v>5</v>
      </c>
      <c r="K17">
        <v>18197.89</v>
      </c>
      <c r="L17">
        <v>30</v>
      </c>
      <c r="M17">
        <v>90989.45</v>
      </c>
      <c r="N17">
        <v>67607.7</v>
      </c>
      <c r="O17">
        <v>23381.75</v>
      </c>
      <c r="P17" t="s">
        <v>29</v>
      </c>
      <c r="Q17">
        <v>1.6</v>
      </c>
      <c r="R17" t="s">
        <v>30</v>
      </c>
      <c r="S17" t="s">
        <v>94</v>
      </c>
      <c r="T17">
        <v>2024</v>
      </c>
    </row>
    <row r="18" spans="1:20" x14ac:dyDescent="0.3">
      <c r="A18" t="s">
        <v>127</v>
      </c>
      <c r="B18" t="s">
        <v>124</v>
      </c>
      <c r="C18" t="s">
        <v>22</v>
      </c>
      <c r="D18" t="s">
        <v>81</v>
      </c>
      <c r="E18" t="s">
        <v>128</v>
      </c>
      <c r="F18" t="s">
        <v>25</v>
      </c>
      <c r="G18" t="s">
        <v>111</v>
      </c>
      <c r="H18" t="s">
        <v>129</v>
      </c>
      <c r="I18" t="s">
        <v>112</v>
      </c>
      <c r="J18">
        <v>2</v>
      </c>
      <c r="K18">
        <v>20817.46</v>
      </c>
      <c r="L18">
        <v>5</v>
      </c>
      <c r="M18">
        <v>41634.92</v>
      </c>
      <c r="N18">
        <v>28615.49</v>
      </c>
      <c r="O18">
        <v>13019.43</v>
      </c>
      <c r="P18" t="s">
        <v>29</v>
      </c>
      <c r="Q18">
        <v>2.2999999999999998</v>
      </c>
      <c r="R18" t="s">
        <v>30</v>
      </c>
      <c r="S18" t="s">
        <v>94</v>
      </c>
      <c r="T18">
        <v>2024</v>
      </c>
    </row>
    <row r="19" spans="1:20" x14ac:dyDescent="0.3">
      <c r="A19" t="s">
        <v>130</v>
      </c>
      <c r="B19" t="s">
        <v>131</v>
      </c>
      <c r="C19" t="s">
        <v>97</v>
      </c>
      <c r="D19" t="s">
        <v>132</v>
      </c>
      <c r="E19" t="s">
        <v>133</v>
      </c>
      <c r="F19" t="s">
        <v>45</v>
      </c>
      <c r="G19" t="s">
        <v>46</v>
      </c>
      <c r="H19" t="s">
        <v>100</v>
      </c>
      <c r="I19" t="s">
        <v>101</v>
      </c>
      <c r="J19">
        <v>4</v>
      </c>
      <c r="K19">
        <v>44061.25</v>
      </c>
      <c r="L19">
        <v>10</v>
      </c>
      <c r="M19">
        <v>176245</v>
      </c>
      <c r="N19">
        <v>119585.24</v>
      </c>
      <c r="O19">
        <v>56659.76</v>
      </c>
      <c r="P19" t="s">
        <v>113</v>
      </c>
      <c r="Q19">
        <v>2.5</v>
      </c>
      <c r="R19" t="s">
        <v>30</v>
      </c>
      <c r="S19" t="s">
        <v>107</v>
      </c>
      <c r="T19">
        <v>2024</v>
      </c>
    </row>
    <row r="20" spans="1:20" x14ac:dyDescent="0.3">
      <c r="A20" t="s">
        <v>134</v>
      </c>
      <c r="B20" t="s">
        <v>135</v>
      </c>
      <c r="C20" t="s">
        <v>136</v>
      </c>
      <c r="D20" t="s">
        <v>81</v>
      </c>
      <c r="E20" t="s">
        <v>82</v>
      </c>
      <c r="F20" t="s">
        <v>25</v>
      </c>
      <c r="G20" t="s">
        <v>26</v>
      </c>
      <c r="H20" t="s">
        <v>129</v>
      </c>
      <c r="I20" t="s">
        <v>112</v>
      </c>
      <c r="J20">
        <v>5</v>
      </c>
      <c r="K20">
        <v>4398.59</v>
      </c>
      <c r="L20">
        <v>20</v>
      </c>
      <c r="M20">
        <v>21992.95</v>
      </c>
      <c r="N20">
        <v>18337.53</v>
      </c>
      <c r="O20">
        <v>3655.42</v>
      </c>
      <c r="P20" t="s">
        <v>73</v>
      </c>
      <c r="Q20">
        <v>4</v>
      </c>
      <c r="R20" t="s">
        <v>30</v>
      </c>
      <c r="S20" t="s">
        <v>94</v>
      </c>
      <c r="T20">
        <v>2024</v>
      </c>
    </row>
    <row r="21" spans="1:20" x14ac:dyDescent="0.3">
      <c r="A21" t="s">
        <v>137</v>
      </c>
      <c r="B21" t="s">
        <v>138</v>
      </c>
      <c r="C21" t="s">
        <v>80</v>
      </c>
      <c r="D21" t="s">
        <v>125</v>
      </c>
      <c r="E21" t="s">
        <v>139</v>
      </c>
      <c r="F21" t="s">
        <v>37</v>
      </c>
      <c r="G21" t="s">
        <v>38</v>
      </c>
      <c r="H21" t="s">
        <v>140</v>
      </c>
      <c r="I21" t="s">
        <v>40</v>
      </c>
      <c r="J21">
        <v>5</v>
      </c>
      <c r="K21">
        <v>32565.77</v>
      </c>
      <c r="L21">
        <v>15</v>
      </c>
      <c r="M21">
        <v>162828.85</v>
      </c>
      <c r="N21">
        <v>137512.46</v>
      </c>
      <c r="O21">
        <v>25316.39</v>
      </c>
      <c r="P21" t="s">
        <v>113</v>
      </c>
      <c r="Q21">
        <v>4.4000000000000004</v>
      </c>
      <c r="R21" t="s">
        <v>30</v>
      </c>
      <c r="S21" t="s">
        <v>87</v>
      </c>
      <c r="T21">
        <v>2025</v>
      </c>
    </row>
    <row r="22" spans="1:20" x14ac:dyDescent="0.3">
      <c r="A22" t="s">
        <v>141</v>
      </c>
      <c r="B22" t="s">
        <v>142</v>
      </c>
      <c r="C22" t="s">
        <v>22</v>
      </c>
      <c r="D22" t="s">
        <v>125</v>
      </c>
      <c r="E22" t="s">
        <v>126</v>
      </c>
      <c r="F22" t="s">
        <v>62</v>
      </c>
      <c r="G22" t="s">
        <v>71</v>
      </c>
      <c r="H22" t="s">
        <v>64</v>
      </c>
      <c r="I22" t="s">
        <v>143</v>
      </c>
      <c r="J22">
        <v>1</v>
      </c>
      <c r="K22">
        <v>47529.36</v>
      </c>
      <c r="L22">
        <v>5</v>
      </c>
      <c r="M22">
        <v>47529.36</v>
      </c>
      <c r="N22">
        <v>33259.57</v>
      </c>
      <c r="O22">
        <v>14269.79</v>
      </c>
      <c r="P22" t="s">
        <v>144</v>
      </c>
      <c r="Q22">
        <v>4.5</v>
      </c>
      <c r="R22" t="s">
        <v>30</v>
      </c>
      <c r="S22" t="s">
        <v>78</v>
      </c>
      <c r="T22">
        <v>2024</v>
      </c>
    </row>
    <row r="23" spans="1:20" x14ac:dyDescent="0.3">
      <c r="A23" t="s">
        <v>145</v>
      </c>
      <c r="B23" t="s">
        <v>146</v>
      </c>
      <c r="C23" t="s">
        <v>22</v>
      </c>
      <c r="D23" t="s">
        <v>69</v>
      </c>
      <c r="E23" t="s">
        <v>70</v>
      </c>
      <c r="F23" t="s">
        <v>37</v>
      </c>
      <c r="G23" t="s">
        <v>38</v>
      </c>
      <c r="H23" t="s">
        <v>39</v>
      </c>
      <c r="I23" t="s">
        <v>40</v>
      </c>
      <c r="J23">
        <v>3</v>
      </c>
      <c r="K23">
        <v>37129.730000000003</v>
      </c>
      <c r="L23">
        <v>30</v>
      </c>
      <c r="M23">
        <v>111389.19</v>
      </c>
      <c r="N23">
        <v>93783.59</v>
      </c>
      <c r="O23">
        <v>17605.599999999999</v>
      </c>
      <c r="P23" t="s">
        <v>73</v>
      </c>
      <c r="Q23">
        <v>4.3</v>
      </c>
      <c r="R23" t="s">
        <v>30</v>
      </c>
      <c r="S23" t="s">
        <v>87</v>
      </c>
      <c r="T23">
        <v>2025</v>
      </c>
    </row>
    <row r="24" spans="1:20" x14ac:dyDescent="0.3">
      <c r="A24" t="s">
        <v>147</v>
      </c>
      <c r="B24" t="s">
        <v>148</v>
      </c>
      <c r="C24" t="s">
        <v>34</v>
      </c>
      <c r="D24" t="s">
        <v>81</v>
      </c>
      <c r="E24" t="s">
        <v>149</v>
      </c>
      <c r="F24" t="s">
        <v>25</v>
      </c>
      <c r="G24" t="s">
        <v>111</v>
      </c>
      <c r="H24" t="s">
        <v>27</v>
      </c>
      <c r="I24" t="s">
        <v>28</v>
      </c>
      <c r="J24">
        <v>4</v>
      </c>
      <c r="K24">
        <v>48258.19</v>
      </c>
      <c r="L24">
        <v>10</v>
      </c>
      <c r="M24">
        <v>193032.76</v>
      </c>
      <c r="N24">
        <v>135823.14000000001</v>
      </c>
      <c r="O24">
        <v>57209.62</v>
      </c>
      <c r="P24" t="s">
        <v>41</v>
      </c>
      <c r="Q24">
        <v>1.6</v>
      </c>
      <c r="R24" t="s">
        <v>30</v>
      </c>
      <c r="S24" t="s">
        <v>119</v>
      </c>
      <c r="T24">
        <v>2024</v>
      </c>
    </row>
    <row r="25" spans="1:20" x14ac:dyDescent="0.3">
      <c r="A25" t="s">
        <v>150</v>
      </c>
      <c r="B25" t="s">
        <v>151</v>
      </c>
      <c r="C25" t="s">
        <v>61</v>
      </c>
      <c r="D25" t="s">
        <v>125</v>
      </c>
      <c r="E25" t="s">
        <v>139</v>
      </c>
      <c r="F25" t="s">
        <v>62</v>
      </c>
      <c r="G25" t="s">
        <v>63</v>
      </c>
      <c r="H25" t="s">
        <v>152</v>
      </c>
      <c r="I25" t="s">
        <v>65</v>
      </c>
      <c r="J25">
        <v>1</v>
      </c>
      <c r="K25">
        <v>32505.96</v>
      </c>
      <c r="L25">
        <v>15</v>
      </c>
      <c r="M25">
        <v>32505.96</v>
      </c>
      <c r="N25">
        <v>22763.48</v>
      </c>
      <c r="O25">
        <v>9742.48</v>
      </c>
      <c r="P25" t="s">
        <v>73</v>
      </c>
      <c r="Q25">
        <v>2.8</v>
      </c>
      <c r="R25" t="s">
        <v>30</v>
      </c>
      <c r="S25" t="s">
        <v>94</v>
      </c>
      <c r="T25">
        <v>2024</v>
      </c>
    </row>
    <row r="26" spans="1:20" x14ac:dyDescent="0.3">
      <c r="A26" t="s">
        <v>153</v>
      </c>
      <c r="B26" t="s">
        <v>154</v>
      </c>
      <c r="C26" t="s">
        <v>22</v>
      </c>
      <c r="D26" t="s">
        <v>69</v>
      </c>
      <c r="E26" t="s">
        <v>155</v>
      </c>
      <c r="F26" t="s">
        <v>62</v>
      </c>
      <c r="G26" t="s">
        <v>71</v>
      </c>
      <c r="H26" t="s">
        <v>64</v>
      </c>
      <c r="I26" t="s">
        <v>65</v>
      </c>
      <c r="J26">
        <v>2</v>
      </c>
      <c r="K26">
        <v>4165.6400000000003</v>
      </c>
      <c r="L26">
        <v>30</v>
      </c>
      <c r="M26">
        <v>8331.2800000000007</v>
      </c>
      <c r="N26">
        <v>6331.13</v>
      </c>
      <c r="O26">
        <v>2000.15</v>
      </c>
      <c r="P26" t="s">
        <v>113</v>
      </c>
      <c r="Q26">
        <v>1.1000000000000001</v>
      </c>
      <c r="R26" t="s">
        <v>30</v>
      </c>
      <c r="S26" t="s">
        <v>58</v>
      </c>
      <c r="T26">
        <v>2024</v>
      </c>
    </row>
    <row r="27" spans="1:20" x14ac:dyDescent="0.3">
      <c r="A27" t="s">
        <v>156</v>
      </c>
      <c r="B27" t="s">
        <v>157</v>
      </c>
      <c r="C27" t="s">
        <v>90</v>
      </c>
      <c r="D27" t="s">
        <v>132</v>
      </c>
      <c r="E27" t="s">
        <v>158</v>
      </c>
      <c r="F27" t="s">
        <v>37</v>
      </c>
      <c r="G27" t="s">
        <v>38</v>
      </c>
      <c r="H27" t="s">
        <v>140</v>
      </c>
      <c r="I27" t="s">
        <v>40</v>
      </c>
      <c r="J27">
        <v>4</v>
      </c>
      <c r="K27">
        <v>2053.11</v>
      </c>
      <c r="L27">
        <v>5</v>
      </c>
      <c r="M27">
        <v>8212.44</v>
      </c>
      <c r="N27">
        <v>6132.68</v>
      </c>
      <c r="O27">
        <v>2079.7600000000002</v>
      </c>
      <c r="P27" t="s">
        <v>113</v>
      </c>
      <c r="Q27">
        <v>3.4</v>
      </c>
      <c r="R27" t="s">
        <v>159</v>
      </c>
      <c r="S27" t="s">
        <v>78</v>
      </c>
      <c r="T27">
        <v>2024</v>
      </c>
    </row>
    <row r="28" spans="1:20" x14ac:dyDescent="0.3">
      <c r="A28" t="s">
        <v>160</v>
      </c>
      <c r="B28" t="s">
        <v>161</v>
      </c>
      <c r="C28" t="s">
        <v>90</v>
      </c>
      <c r="D28" t="s">
        <v>35</v>
      </c>
      <c r="E28" t="s">
        <v>36</v>
      </c>
      <c r="F28" t="s">
        <v>37</v>
      </c>
      <c r="G28" t="s">
        <v>38</v>
      </c>
      <c r="H28" t="s">
        <v>39</v>
      </c>
      <c r="I28" t="s">
        <v>40</v>
      </c>
      <c r="J28">
        <v>4</v>
      </c>
      <c r="K28">
        <v>38927.620000000003</v>
      </c>
      <c r="L28">
        <v>15</v>
      </c>
      <c r="M28">
        <v>155710.48000000001</v>
      </c>
      <c r="N28">
        <v>120299.62</v>
      </c>
      <c r="O28">
        <v>35410.86</v>
      </c>
      <c r="P28" t="s">
        <v>73</v>
      </c>
      <c r="Q28">
        <v>2.5</v>
      </c>
      <c r="R28" t="s">
        <v>30</v>
      </c>
      <c r="S28" t="s">
        <v>162</v>
      </c>
      <c r="T28">
        <v>2024</v>
      </c>
    </row>
    <row r="29" spans="1:20" x14ac:dyDescent="0.3">
      <c r="A29" t="s">
        <v>163</v>
      </c>
      <c r="B29" t="s">
        <v>164</v>
      </c>
      <c r="C29" t="s">
        <v>22</v>
      </c>
      <c r="D29" t="s">
        <v>23</v>
      </c>
      <c r="E29" t="s">
        <v>24</v>
      </c>
      <c r="F29" t="s">
        <v>62</v>
      </c>
      <c r="G29" t="s">
        <v>63</v>
      </c>
      <c r="H29" t="s">
        <v>72</v>
      </c>
      <c r="I29" t="s">
        <v>165</v>
      </c>
      <c r="J29">
        <v>4</v>
      </c>
      <c r="K29">
        <v>28978.47</v>
      </c>
      <c r="L29">
        <v>10</v>
      </c>
      <c r="M29">
        <v>115913.88</v>
      </c>
      <c r="N29">
        <v>96674.53</v>
      </c>
      <c r="O29">
        <v>19239.349999999999</v>
      </c>
      <c r="P29" t="s">
        <v>41</v>
      </c>
      <c r="Q29">
        <v>2.2999999999999998</v>
      </c>
      <c r="R29" t="s">
        <v>30</v>
      </c>
      <c r="S29" t="s">
        <v>78</v>
      </c>
      <c r="T29">
        <v>2024</v>
      </c>
    </row>
    <row r="30" spans="1:20" x14ac:dyDescent="0.3">
      <c r="A30" t="s">
        <v>166</v>
      </c>
      <c r="B30" t="s">
        <v>167</v>
      </c>
      <c r="C30" t="s">
        <v>168</v>
      </c>
      <c r="D30" t="s">
        <v>23</v>
      </c>
      <c r="E30" t="s">
        <v>24</v>
      </c>
      <c r="F30" t="s">
        <v>45</v>
      </c>
      <c r="G30" t="s">
        <v>46</v>
      </c>
      <c r="H30" t="s">
        <v>106</v>
      </c>
      <c r="I30" t="s">
        <v>169</v>
      </c>
      <c r="J30">
        <v>5</v>
      </c>
      <c r="K30">
        <v>21293.42</v>
      </c>
      <c r="L30">
        <v>5</v>
      </c>
      <c r="M30">
        <v>106467.1</v>
      </c>
      <c r="N30">
        <v>83253.08</v>
      </c>
      <c r="O30">
        <v>23214.02</v>
      </c>
      <c r="P30" t="s">
        <v>73</v>
      </c>
      <c r="Q30">
        <v>2.2000000000000002</v>
      </c>
      <c r="R30" t="s">
        <v>30</v>
      </c>
      <c r="S30" t="s">
        <v>107</v>
      </c>
      <c r="T30">
        <v>2024</v>
      </c>
    </row>
    <row r="31" spans="1:20" x14ac:dyDescent="0.3">
      <c r="A31" t="s">
        <v>170</v>
      </c>
      <c r="B31" t="s">
        <v>171</v>
      </c>
      <c r="C31" t="s">
        <v>168</v>
      </c>
      <c r="D31" t="s">
        <v>69</v>
      </c>
      <c r="E31" t="s">
        <v>70</v>
      </c>
      <c r="F31" t="s">
        <v>45</v>
      </c>
      <c r="G31" t="s">
        <v>105</v>
      </c>
      <c r="H31" t="s">
        <v>106</v>
      </c>
      <c r="I31" t="s">
        <v>48</v>
      </c>
      <c r="J31">
        <v>4</v>
      </c>
      <c r="K31">
        <v>49097.01</v>
      </c>
      <c r="L31">
        <v>5</v>
      </c>
      <c r="M31">
        <v>196388.04</v>
      </c>
      <c r="N31">
        <v>133386.78</v>
      </c>
      <c r="O31">
        <v>63001.26</v>
      </c>
      <c r="P31" t="s">
        <v>122</v>
      </c>
      <c r="Q31">
        <v>3.7</v>
      </c>
      <c r="R31" t="s">
        <v>30</v>
      </c>
      <c r="S31" t="s">
        <v>162</v>
      </c>
      <c r="T31">
        <v>2024</v>
      </c>
    </row>
    <row r="32" spans="1:20" x14ac:dyDescent="0.3">
      <c r="A32" t="s">
        <v>172</v>
      </c>
      <c r="B32" t="s">
        <v>173</v>
      </c>
      <c r="C32" t="s">
        <v>90</v>
      </c>
      <c r="D32" t="s">
        <v>125</v>
      </c>
      <c r="E32" t="s">
        <v>139</v>
      </c>
      <c r="F32" t="s">
        <v>45</v>
      </c>
      <c r="G32" t="s">
        <v>46</v>
      </c>
      <c r="H32" t="s">
        <v>100</v>
      </c>
      <c r="I32" t="s">
        <v>101</v>
      </c>
      <c r="J32">
        <v>1</v>
      </c>
      <c r="K32">
        <v>47651.19</v>
      </c>
      <c r="L32">
        <v>5</v>
      </c>
      <c r="M32">
        <v>47651.19</v>
      </c>
      <c r="N32">
        <v>38851.519999999997</v>
      </c>
      <c r="O32">
        <v>8799.67</v>
      </c>
      <c r="P32" t="s">
        <v>144</v>
      </c>
      <c r="Q32">
        <v>3.6</v>
      </c>
      <c r="R32" t="s">
        <v>30</v>
      </c>
      <c r="S32" t="s">
        <v>107</v>
      </c>
      <c r="T32">
        <v>2024</v>
      </c>
    </row>
    <row r="33" spans="1:20" x14ac:dyDescent="0.3">
      <c r="A33" t="s">
        <v>174</v>
      </c>
      <c r="B33" t="s">
        <v>175</v>
      </c>
      <c r="C33" t="s">
        <v>80</v>
      </c>
      <c r="D33" t="s">
        <v>35</v>
      </c>
      <c r="E33" t="s">
        <v>36</v>
      </c>
      <c r="F33" t="s">
        <v>45</v>
      </c>
      <c r="G33" t="s">
        <v>105</v>
      </c>
      <c r="H33" t="s">
        <v>176</v>
      </c>
      <c r="I33" t="s">
        <v>101</v>
      </c>
      <c r="J33">
        <v>5</v>
      </c>
      <c r="K33">
        <v>15046.01</v>
      </c>
      <c r="L33">
        <v>5</v>
      </c>
      <c r="M33">
        <v>75230.05</v>
      </c>
      <c r="N33">
        <v>62373.17</v>
      </c>
      <c r="O33">
        <v>12856.88</v>
      </c>
      <c r="P33" t="s">
        <v>113</v>
      </c>
      <c r="Q33">
        <v>1.1000000000000001</v>
      </c>
      <c r="R33" t="s">
        <v>159</v>
      </c>
      <c r="S33" t="s">
        <v>74</v>
      </c>
      <c r="T33">
        <v>2024</v>
      </c>
    </row>
    <row r="34" spans="1:20" x14ac:dyDescent="0.3">
      <c r="A34" t="s">
        <v>177</v>
      </c>
      <c r="B34" t="s">
        <v>178</v>
      </c>
      <c r="C34" t="s">
        <v>34</v>
      </c>
      <c r="D34" t="s">
        <v>23</v>
      </c>
      <c r="E34" t="s">
        <v>24</v>
      </c>
      <c r="F34" t="s">
        <v>54</v>
      </c>
      <c r="G34" t="s">
        <v>55</v>
      </c>
      <c r="H34" t="s">
        <v>179</v>
      </c>
      <c r="I34" t="s">
        <v>180</v>
      </c>
      <c r="J34">
        <v>3</v>
      </c>
      <c r="K34">
        <v>36980.1</v>
      </c>
      <c r="L34">
        <v>15</v>
      </c>
      <c r="M34">
        <v>110940.3</v>
      </c>
      <c r="N34">
        <v>82458.78</v>
      </c>
      <c r="O34">
        <v>28481.52</v>
      </c>
      <c r="P34" t="s">
        <v>113</v>
      </c>
      <c r="Q34">
        <v>3.2</v>
      </c>
      <c r="R34" t="s">
        <v>30</v>
      </c>
      <c r="S34" t="s">
        <v>74</v>
      </c>
      <c r="T34">
        <v>2024</v>
      </c>
    </row>
    <row r="35" spans="1:20" x14ac:dyDescent="0.3">
      <c r="A35" t="s">
        <v>181</v>
      </c>
      <c r="B35" t="s">
        <v>182</v>
      </c>
      <c r="C35" t="s">
        <v>22</v>
      </c>
      <c r="D35" t="s">
        <v>23</v>
      </c>
      <c r="E35" t="s">
        <v>24</v>
      </c>
      <c r="F35" t="s">
        <v>62</v>
      </c>
      <c r="G35" t="s">
        <v>63</v>
      </c>
      <c r="H35" t="s">
        <v>83</v>
      </c>
      <c r="I35" t="s">
        <v>65</v>
      </c>
      <c r="J35">
        <v>2</v>
      </c>
      <c r="K35">
        <v>38144.67</v>
      </c>
      <c r="L35">
        <v>15</v>
      </c>
      <c r="M35">
        <v>76289.34</v>
      </c>
      <c r="N35">
        <v>56892.78</v>
      </c>
      <c r="O35">
        <v>19396.560000000001</v>
      </c>
      <c r="P35" t="s">
        <v>144</v>
      </c>
      <c r="Q35">
        <v>3.1</v>
      </c>
      <c r="R35" t="s">
        <v>30</v>
      </c>
      <c r="S35" t="s">
        <v>78</v>
      </c>
      <c r="T35">
        <v>2024</v>
      </c>
    </row>
    <row r="36" spans="1:20" x14ac:dyDescent="0.3">
      <c r="A36" t="s">
        <v>183</v>
      </c>
      <c r="B36" t="s">
        <v>184</v>
      </c>
      <c r="C36" t="s">
        <v>61</v>
      </c>
      <c r="D36" t="s">
        <v>35</v>
      </c>
      <c r="E36" t="s">
        <v>36</v>
      </c>
      <c r="F36" t="s">
        <v>54</v>
      </c>
      <c r="G36" t="s">
        <v>55</v>
      </c>
      <c r="H36" t="s">
        <v>179</v>
      </c>
      <c r="I36" t="s">
        <v>185</v>
      </c>
      <c r="J36">
        <v>2</v>
      </c>
      <c r="K36">
        <v>49355.45</v>
      </c>
      <c r="L36">
        <v>20</v>
      </c>
      <c r="M36">
        <v>98710.9</v>
      </c>
      <c r="N36">
        <v>71668.850000000006</v>
      </c>
      <c r="O36">
        <v>27042.05</v>
      </c>
      <c r="P36" t="s">
        <v>113</v>
      </c>
      <c r="Q36">
        <v>3.5</v>
      </c>
      <c r="R36" t="s">
        <v>30</v>
      </c>
      <c r="S36" t="s">
        <v>49</v>
      </c>
      <c r="T36">
        <v>2024</v>
      </c>
    </row>
    <row r="37" spans="1:20" x14ac:dyDescent="0.3">
      <c r="A37" t="s">
        <v>186</v>
      </c>
      <c r="B37" t="s">
        <v>187</v>
      </c>
      <c r="C37" t="s">
        <v>22</v>
      </c>
      <c r="D37" t="s">
        <v>125</v>
      </c>
      <c r="E37" t="s">
        <v>139</v>
      </c>
      <c r="F37" t="s">
        <v>45</v>
      </c>
      <c r="G37" t="s">
        <v>46</v>
      </c>
      <c r="H37" t="s">
        <v>188</v>
      </c>
      <c r="I37" t="s">
        <v>101</v>
      </c>
      <c r="J37">
        <v>3</v>
      </c>
      <c r="K37">
        <v>12945.96</v>
      </c>
      <c r="L37">
        <v>30</v>
      </c>
      <c r="M37">
        <v>38837.879999999997</v>
      </c>
      <c r="N37">
        <v>31096.49</v>
      </c>
      <c r="O37">
        <v>7741.39</v>
      </c>
      <c r="P37" t="s">
        <v>73</v>
      </c>
      <c r="Q37">
        <v>1.4</v>
      </c>
      <c r="R37" t="s">
        <v>30</v>
      </c>
      <c r="S37" t="s">
        <v>119</v>
      </c>
      <c r="T37">
        <v>2024</v>
      </c>
    </row>
    <row r="38" spans="1:20" x14ac:dyDescent="0.3">
      <c r="A38" t="s">
        <v>189</v>
      </c>
      <c r="B38" t="s">
        <v>190</v>
      </c>
      <c r="C38" t="s">
        <v>97</v>
      </c>
      <c r="D38" t="s">
        <v>52</v>
      </c>
      <c r="E38" t="s">
        <v>53</v>
      </c>
      <c r="F38" t="s">
        <v>45</v>
      </c>
      <c r="G38" t="s">
        <v>46</v>
      </c>
      <c r="H38" t="s">
        <v>100</v>
      </c>
      <c r="I38" t="s">
        <v>169</v>
      </c>
      <c r="J38">
        <v>4</v>
      </c>
      <c r="K38">
        <v>34927.79</v>
      </c>
      <c r="L38">
        <v>10</v>
      </c>
      <c r="M38">
        <v>139711.16</v>
      </c>
      <c r="N38">
        <v>94862.62</v>
      </c>
      <c r="O38">
        <v>44848.54</v>
      </c>
      <c r="P38" t="s">
        <v>122</v>
      </c>
      <c r="Q38">
        <v>1.1000000000000001</v>
      </c>
      <c r="R38" t="s">
        <v>30</v>
      </c>
      <c r="S38" t="s">
        <v>119</v>
      </c>
      <c r="T38">
        <v>2024</v>
      </c>
    </row>
    <row r="39" spans="1:20" x14ac:dyDescent="0.3">
      <c r="A39" t="s">
        <v>191</v>
      </c>
      <c r="B39" t="s">
        <v>192</v>
      </c>
      <c r="C39" t="s">
        <v>136</v>
      </c>
      <c r="D39" t="s">
        <v>125</v>
      </c>
      <c r="E39" t="s">
        <v>139</v>
      </c>
      <c r="F39" t="s">
        <v>62</v>
      </c>
      <c r="G39" t="s">
        <v>63</v>
      </c>
      <c r="H39" t="s">
        <v>83</v>
      </c>
      <c r="I39" t="s">
        <v>143</v>
      </c>
      <c r="J39">
        <v>3</v>
      </c>
      <c r="K39">
        <v>3677.4</v>
      </c>
      <c r="L39">
        <v>30</v>
      </c>
      <c r="M39">
        <v>11032.2</v>
      </c>
      <c r="N39">
        <v>9355.66</v>
      </c>
      <c r="O39">
        <v>1676.54</v>
      </c>
      <c r="P39" t="s">
        <v>41</v>
      </c>
      <c r="Q39">
        <v>3.7</v>
      </c>
      <c r="R39" t="s">
        <v>30</v>
      </c>
      <c r="S39" t="s">
        <v>78</v>
      </c>
      <c r="T39">
        <v>2024</v>
      </c>
    </row>
    <row r="40" spans="1:20" x14ac:dyDescent="0.3">
      <c r="A40" t="s">
        <v>193</v>
      </c>
      <c r="B40" t="s">
        <v>194</v>
      </c>
      <c r="C40" t="s">
        <v>116</v>
      </c>
      <c r="D40" t="s">
        <v>23</v>
      </c>
      <c r="E40" t="s">
        <v>24</v>
      </c>
      <c r="F40" t="s">
        <v>25</v>
      </c>
      <c r="G40" t="s">
        <v>26</v>
      </c>
      <c r="H40" t="s">
        <v>121</v>
      </c>
      <c r="I40" t="s">
        <v>28</v>
      </c>
      <c r="J40">
        <v>4</v>
      </c>
      <c r="K40">
        <v>37004.54</v>
      </c>
      <c r="L40">
        <v>30</v>
      </c>
      <c r="M40">
        <v>148018.16</v>
      </c>
      <c r="N40">
        <v>107869.83</v>
      </c>
      <c r="O40">
        <v>40148.33</v>
      </c>
      <c r="P40" t="s">
        <v>29</v>
      </c>
      <c r="Q40">
        <v>4</v>
      </c>
      <c r="R40" t="s">
        <v>30</v>
      </c>
      <c r="S40" t="s">
        <v>74</v>
      </c>
      <c r="T40">
        <v>2024</v>
      </c>
    </row>
    <row r="41" spans="1:20" x14ac:dyDescent="0.3">
      <c r="A41" t="s">
        <v>195</v>
      </c>
      <c r="B41" t="s">
        <v>109</v>
      </c>
      <c r="C41" t="s">
        <v>34</v>
      </c>
      <c r="D41" t="s">
        <v>81</v>
      </c>
      <c r="E41" t="s">
        <v>128</v>
      </c>
      <c r="F41" t="s">
        <v>25</v>
      </c>
      <c r="G41" t="s">
        <v>26</v>
      </c>
      <c r="H41" t="s">
        <v>129</v>
      </c>
      <c r="I41" t="s">
        <v>112</v>
      </c>
      <c r="J41">
        <v>5</v>
      </c>
      <c r="K41">
        <v>27961.78</v>
      </c>
      <c r="L41">
        <v>20</v>
      </c>
      <c r="M41">
        <v>139808.9</v>
      </c>
      <c r="N41">
        <v>109930.42</v>
      </c>
      <c r="O41">
        <v>29878.48</v>
      </c>
      <c r="P41" t="s">
        <v>144</v>
      </c>
      <c r="Q41">
        <v>4</v>
      </c>
      <c r="R41" t="s">
        <v>30</v>
      </c>
      <c r="S41" t="s">
        <v>102</v>
      </c>
      <c r="T41">
        <v>2024</v>
      </c>
    </row>
    <row r="42" spans="1:20" x14ac:dyDescent="0.3">
      <c r="A42" t="s">
        <v>196</v>
      </c>
      <c r="B42" t="s">
        <v>197</v>
      </c>
      <c r="C42" t="s">
        <v>34</v>
      </c>
      <c r="D42" t="s">
        <v>69</v>
      </c>
      <c r="E42" t="s">
        <v>155</v>
      </c>
      <c r="F42" t="s">
        <v>25</v>
      </c>
      <c r="G42" t="s">
        <v>26</v>
      </c>
      <c r="H42" t="s">
        <v>121</v>
      </c>
      <c r="I42" t="s">
        <v>112</v>
      </c>
      <c r="J42">
        <v>2</v>
      </c>
      <c r="K42">
        <v>2655.8</v>
      </c>
      <c r="L42">
        <v>25</v>
      </c>
      <c r="M42">
        <v>5311.6</v>
      </c>
      <c r="N42">
        <v>3865.75</v>
      </c>
      <c r="O42">
        <v>1445.85</v>
      </c>
      <c r="P42" t="s">
        <v>144</v>
      </c>
      <c r="Q42">
        <v>3.7</v>
      </c>
      <c r="R42" t="s">
        <v>30</v>
      </c>
      <c r="S42" t="s">
        <v>102</v>
      </c>
      <c r="T42">
        <v>2024</v>
      </c>
    </row>
    <row r="43" spans="1:20" x14ac:dyDescent="0.3">
      <c r="A43" t="s">
        <v>198</v>
      </c>
      <c r="B43" t="s">
        <v>199</v>
      </c>
      <c r="C43" t="s">
        <v>200</v>
      </c>
      <c r="D43" t="s">
        <v>98</v>
      </c>
      <c r="E43" t="s">
        <v>99</v>
      </c>
      <c r="F43" t="s">
        <v>54</v>
      </c>
      <c r="G43" t="s">
        <v>201</v>
      </c>
      <c r="H43" t="s">
        <v>91</v>
      </c>
      <c r="I43" t="s">
        <v>57</v>
      </c>
      <c r="J43">
        <v>4</v>
      </c>
      <c r="K43">
        <v>965.51</v>
      </c>
      <c r="L43">
        <v>5</v>
      </c>
      <c r="M43">
        <v>3862.04</v>
      </c>
      <c r="N43">
        <v>2992.76</v>
      </c>
      <c r="O43">
        <v>869.28</v>
      </c>
      <c r="P43" t="s">
        <v>113</v>
      </c>
      <c r="Q43">
        <v>3.5</v>
      </c>
      <c r="R43" t="s">
        <v>159</v>
      </c>
      <c r="S43" t="s">
        <v>119</v>
      </c>
      <c r="T43">
        <v>2024</v>
      </c>
    </row>
    <row r="44" spans="1:20" x14ac:dyDescent="0.3">
      <c r="A44" t="s">
        <v>202</v>
      </c>
      <c r="B44" t="s">
        <v>203</v>
      </c>
      <c r="C44" t="s">
        <v>22</v>
      </c>
      <c r="D44" t="s">
        <v>81</v>
      </c>
      <c r="E44" t="s">
        <v>128</v>
      </c>
      <c r="F44" t="s">
        <v>62</v>
      </c>
      <c r="G44" t="s">
        <v>63</v>
      </c>
      <c r="H44" t="s">
        <v>152</v>
      </c>
      <c r="I44" t="s">
        <v>165</v>
      </c>
      <c r="J44">
        <v>3</v>
      </c>
      <c r="K44">
        <v>2980.08</v>
      </c>
      <c r="L44">
        <v>10</v>
      </c>
      <c r="M44">
        <v>8940.24</v>
      </c>
      <c r="N44">
        <v>7222.73</v>
      </c>
      <c r="O44">
        <v>1717.51</v>
      </c>
      <c r="P44" t="s">
        <v>144</v>
      </c>
      <c r="Q44">
        <v>4.2</v>
      </c>
      <c r="R44" t="s">
        <v>30</v>
      </c>
      <c r="S44" t="s">
        <v>42</v>
      </c>
      <c r="T44">
        <v>2024</v>
      </c>
    </row>
    <row r="45" spans="1:20" x14ac:dyDescent="0.3">
      <c r="A45" t="s">
        <v>204</v>
      </c>
      <c r="B45" t="s">
        <v>205</v>
      </c>
      <c r="C45" t="s">
        <v>90</v>
      </c>
      <c r="D45" t="s">
        <v>132</v>
      </c>
      <c r="E45" t="s">
        <v>133</v>
      </c>
      <c r="F45" t="s">
        <v>62</v>
      </c>
      <c r="G45" t="s">
        <v>71</v>
      </c>
      <c r="H45" t="s">
        <v>72</v>
      </c>
      <c r="I45" t="s">
        <v>143</v>
      </c>
      <c r="J45">
        <v>1</v>
      </c>
      <c r="K45">
        <v>8598.58</v>
      </c>
      <c r="L45">
        <v>30</v>
      </c>
      <c r="M45">
        <v>8598.58</v>
      </c>
      <c r="N45">
        <v>5754.28</v>
      </c>
      <c r="O45">
        <v>2844.3</v>
      </c>
      <c r="P45" t="s">
        <v>29</v>
      </c>
      <c r="Q45">
        <v>1.1000000000000001</v>
      </c>
      <c r="R45" t="s">
        <v>159</v>
      </c>
      <c r="S45" t="s">
        <v>74</v>
      </c>
      <c r="T45">
        <v>2024</v>
      </c>
    </row>
    <row r="46" spans="1:20" x14ac:dyDescent="0.3">
      <c r="A46" t="s">
        <v>206</v>
      </c>
      <c r="B46" t="s">
        <v>173</v>
      </c>
      <c r="C46" t="s">
        <v>116</v>
      </c>
      <c r="D46" t="s">
        <v>125</v>
      </c>
      <c r="E46" t="s">
        <v>139</v>
      </c>
      <c r="F46" t="s">
        <v>45</v>
      </c>
      <c r="G46" t="s">
        <v>105</v>
      </c>
      <c r="H46" t="s">
        <v>188</v>
      </c>
      <c r="I46" t="s">
        <v>48</v>
      </c>
      <c r="J46">
        <v>2</v>
      </c>
      <c r="K46">
        <v>31850.15</v>
      </c>
      <c r="L46">
        <v>20</v>
      </c>
      <c r="M46">
        <v>63700.3</v>
      </c>
      <c r="N46">
        <v>51532.47</v>
      </c>
      <c r="O46">
        <v>12167.83</v>
      </c>
      <c r="P46" t="s">
        <v>144</v>
      </c>
      <c r="Q46">
        <v>2.8</v>
      </c>
      <c r="R46" t="s">
        <v>66</v>
      </c>
      <c r="S46" t="s">
        <v>107</v>
      </c>
      <c r="T46">
        <v>2024</v>
      </c>
    </row>
    <row r="47" spans="1:20" x14ac:dyDescent="0.3">
      <c r="A47" t="s">
        <v>207</v>
      </c>
      <c r="B47" t="s">
        <v>208</v>
      </c>
      <c r="C47" t="s">
        <v>22</v>
      </c>
      <c r="D47" t="s">
        <v>125</v>
      </c>
      <c r="E47" t="s">
        <v>126</v>
      </c>
      <c r="F47" t="s">
        <v>54</v>
      </c>
      <c r="G47" t="s">
        <v>201</v>
      </c>
      <c r="H47" t="s">
        <v>56</v>
      </c>
      <c r="I47" t="s">
        <v>185</v>
      </c>
      <c r="J47">
        <v>5</v>
      </c>
      <c r="K47">
        <v>33443.32</v>
      </c>
      <c r="L47">
        <v>30</v>
      </c>
      <c r="M47">
        <v>167216.6</v>
      </c>
      <c r="N47">
        <v>136660.12</v>
      </c>
      <c r="O47">
        <v>30556.48</v>
      </c>
      <c r="P47" t="s">
        <v>41</v>
      </c>
      <c r="Q47">
        <v>2.4</v>
      </c>
      <c r="R47" t="s">
        <v>30</v>
      </c>
      <c r="S47" t="s">
        <v>102</v>
      </c>
      <c r="T47">
        <v>2024</v>
      </c>
    </row>
    <row r="48" spans="1:20" x14ac:dyDescent="0.3">
      <c r="A48" t="s">
        <v>209</v>
      </c>
      <c r="B48" t="s">
        <v>210</v>
      </c>
      <c r="C48" t="s">
        <v>80</v>
      </c>
      <c r="D48" t="s">
        <v>98</v>
      </c>
      <c r="E48" t="s">
        <v>99</v>
      </c>
      <c r="F48" t="s">
        <v>37</v>
      </c>
      <c r="G48" t="s">
        <v>38</v>
      </c>
      <c r="H48" t="s">
        <v>86</v>
      </c>
      <c r="I48" t="s">
        <v>40</v>
      </c>
      <c r="J48">
        <v>5</v>
      </c>
      <c r="K48">
        <v>29592.5</v>
      </c>
      <c r="L48">
        <v>10</v>
      </c>
      <c r="M48">
        <v>147962.5</v>
      </c>
      <c r="N48">
        <v>118254.28</v>
      </c>
      <c r="O48">
        <v>29708.22</v>
      </c>
      <c r="P48" t="s">
        <v>144</v>
      </c>
      <c r="Q48">
        <v>4.7</v>
      </c>
      <c r="R48" t="s">
        <v>30</v>
      </c>
      <c r="S48" t="s">
        <v>78</v>
      </c>
      <c r="T48">
        <v>2024</v>
      </c>
    </row>
    <row r="49" spans="1:20" x14ac:dyDescent="0.3">
      <c r="A49" t="s">
        <v>211</v>
      </c>
      <c r="B49" t="s">
        <v>212</v>
      </c>
      <c r="C49" t="s">
        <v>116</v>
      </c>
      <c r="D49" t="s">
        <v>81</v>
      </c>
      <c r="E49" t="s">
        <v>149</v>
      </c>
      <c r="F49" t="s">
        <v>45</v>
      </c>
      <c r="G49" t="s">
        <v>46</v>
      </c>
      <c r="H49" t="s">
        <v>176</v>
      </c>
      <c r="I49" t="s">
        <v>169</v>
      </c>
      <c r="J49">
        <v>4</v>
      </c>
      <c r="K49">
        <v>11187.38</v>
      </c>
      <c r="L49">
        <v>20</v>
      </c>
      <c r="M49">
        <v>44749.52</v>
      </c>
      <c r="N49">
        <v>30590.07</v>
      </c>
      <c r="O49">
        <v>14159.45</v>
      </c>
      <c r="P49" t="s">
        <v>73</v>
      </c>
      <c r="Q49">
        <v>2.2999999999999998</v>
      </c>
      <c r="R49" t="s">
        <v>159</v>
      </c>
      <c r="S49" t="s">
        <v>119</v>
      </c>
      <c r="T49">
        <v>2024</v>
      </c>
    </row>
    <row r="50" spans="1:20" x14ac:dyDescent="0.3">
      <c r="A50" t="s">
        <v>213</v>
      </c>
      <c r="B50" t="s">
        <v>214</v>
      </c>
      <c r="C50" t="s">
        <v>97</v>
      </c>
      <c r="D50" t="s">
        <v>52</v>
      </c>
      <c r="E50" t="s">
        <v>110</v>
      </c>
      <c r="F50" t="s">
        <v>62</v>
      </c>
      <c r="G50" t="s">
        <v>63</v>
      </c>
      <c r="H50" t="s">
        <v>152</v>
      </c>
      <c r="I50" t="s">
        <v>65</v>
      </c>
      <c r="J50">
        <v>5</v>
      </c>
      <c r="K50">
        <v>23898.58</v>
      </c>
      <c r="L50">
        <v>10</v>
      </c>
      <c r="M50">
        <v>119492.9</v>
      </c>
      <c r="N50">
        <v>89753.91</v>
      </c>
      <c r="O50">
        <v>29738.99</v>
      </c>
      <c r="P50" t="s">
        <v>122</v>
      </c>
      <c r="Q50">
        <v>3.3</v>
      </c>
      <c r="R50" t="s">
        <v>30</v>
      </c>
      <c r="S50" t="s">
        <v>58</v>
      </c>
      <c r="T50">
        <v>2024</v>
      </c>
    </row>
    <row r="51" spans="1:20" x14ac:dyDescent="0.3">
      <c r="A51" t="s">
        <v>215</v>
      </c>
      <c r="B51" t="s">
        <v>216</v>
      </c>
      <c r="C51" t="s">
        <v>168</v>
      </c>
      <c r="D51" t="s">
        <v>132</v>
      </c>
      <c r="E51" t="s">
        <v>133</v>
      </c>
      <c r="F51" t="s">
        <v>25</v>
      </c>
      <c r="G51" t="s">
        <v>111</v>
      </c>
      <c r="H51" t="s">
        <v>121</v>
      </c>
      <c r="I51" t="s">
        <v>28</v>
      </c>
      <c r="J51">
        <v>4</v>
      </c>
      <c r="K51">
        <v>1391.49</v>
      </c>
      <c r="L51">
        <v>10</v>
      </c>
      <c r="M51">
        <v>5565.96</v>
      </c>
      <c r="N51">
        <v>3899.64</v>
      </c>
      <c r="O51">
        <v>1666.32</v>
      </c>
      <c r="P51" t="s">
        <v>122</v>
      </c>
      <c r="Q51">
        <v>4.5</v>
      </c>
      <c r="R51" t="s">
        <v>30</v>
      </c>
      <c r="S51" t="s">
        <v>162</v>
      </c>
      <c r="T51">
        <v>2024</v>
      </c>
    </row>
    <row r="52" spans="1:20" x14ac:dyDescent="0.3">
      <c r="A52" t="s">
        <v>217</v>
      </c>
      <c r="B52" t="s">
        <v>218</v>
      </c>
      <c r="C52" t="s">
        <v>34</v>
      </c>
      <c r="D52" t="s">
        <v>23</v>
      </c>
      <c r="E52" t="s">
        <v>24</v>
      </c>
      <c r="F52" t="s">
        <v>37</v>
      </c>
      <c r="G52" t="s">
        <v>38</v>
      </c>
      <c r="H52" t="s">
        <v>39</v>
      </c>
      <c r="I52" t="s">
        <v>40</v>
      </c>
      <c r="J52">
        <v>5</v>
      </c>
      <c r="K52">
        <v>18607.689999999999</v>
      </c>
      <c r="L52">
        <v>25</v>
      </c>
      <c r="M52">
        <v>93038.45</v>
      </c>
      <c r="N52">
        <v>76104.789999999994</v>
      </c>
      <c r="O52">
        <v>16933.66</v>
      </c>
      <c r="P52" t="s">
        <v>113</v>
      </c>
      <c r="Q52">
        <v>2.4</v>
      </c>
      <c r="R52" t="s">
        <v>30</v>
      </c>
      <c r="S52" t="s">
        <v>31</v>
      </c>
      <c r="T52">
        <v>2024</v>
      </c>
    </row>
    <row r="53" spans="1:20" x14ac:dyDescent="0.3">
      <c r="A53" t="s">
        <v>219</v>
      </c>
      <c r="B53" t="s">
        <v>220</v>
      </c>
      <c r="C53" t="s">
        <v>61</v>
      </c>
      <c r="D53" t="s">
        <v>52</v>
      </c>
      <c r="E53" t="s">
        <v>110</v>
      </c>
      <c r="F53" t="s">
        <v>25</v>
      </c>
      <c r="G53" t="s">
        <v>26</v>
      </c>
      <c r="H53" t="s">
        <v>221</v>
      </c>
      <c r="I53" t="s">
        <v>112</v>
      </c>
      <c r="J53">
        <v>3</v>
      </c>
      <c r="K53">
        <v>46224.88</v>
      </c>
      <c r="L53">
        <v>30</v>
      </c>
      <c r="M53">
        <v>138674.64000000001</v>
      </c>
      <c r="N53">
        <v>93576.639999999999</v>
      </c>
      <c r="O53">
        <v>45098</v>
      </c>
      <c r="P53" t="s">
        <v>122</v>
      </c>
      <c r="Q53">
        <v>4.0999999999999996</v>
      </c>
      <c r="R53" t="s">
        <v>30</v>
      </c>
      <c r="S53" t="s">
        <v>74</v>
      </c>
      <c r="T53">
        <v>2024</v>
      </c>
    </row>
    <row r="54" spans="1:20" x14ac:dyDescent="0.3">
      <c r="A54" t="s">
        <v>222</v>
      </c>
      <c r="B54" t="s">
        <v>223</v>
      </c>
      <c r="C54" t="s">
        <v>136</v>
      </c>
      <c r="D54" t="s">
        <v>125</v>
      </c>
      <c r="E54" t="s">
        <v>139</v>
      </c>
      <c r="F54" t="s">
        <v>54</v>
      </c>
      <c r="G54" t="s">
        <v>201</v>
      </c>
      <c r="H54" t="s">
        <v>92</v>
      </c>
      <c r="I54" t="s">
        <v>180</v>
      </c>
      <c r="J54">
        <v>5</v>
      </c>
      <c r="K54">
        <v>11864.13</v>
      </c>
      <c r="L54">
        <v>25</v>
      </c>
      <c r="M54">
        <v>59320.65</v>
      </c>
      <c r="N54">
        <v>48132.15</v>
      </c>
      <c r="O54">
        <v>11188.5</v>
      </c>
      <c r="P54" t="s">
        <v>29</v>
      </c>
      <c r="Q54">
        <v>1.3</v>
      </c>
      <c r="R54" t="s">
        <v>30</v>
      </c>
      <c r="S54" t="s">
        <v>58</v>
      </c>
      <c r="T54">
        <v>2024</v>
      </c>
    </row>
    <row r="55" spans="1:20" x14ac:dyDescent="0.3">
      <c r="A55" t="s">
        <v>224</v>
      </c>
      <c r="B55" t="s">
        <v>225</v>
      </c>
      <c r="C55" t="s">
        <v>80</v>
      </c>
      <c r="D55" t="s">
        <v>98</v>
      </c>
      <c r="E55" t="s">
        <v>99</v>
      </c>
      <c r="F55" t="s">
        <v>25</v>
      </c>
      <c r="G55" t="s">
        <v>26</v>
      </c>
      <c r="H55" t="s">
        <v>121</v>
      </c>
      <c r="I55" t="s">
        <v>28</v>
      </c>
      <c r="J55">
        <v>5</v>
      </c>
      <c r="K55">
        <v>7757.2</v>
      </c>
      <c r="L55">
        <v>10</v>
      </c>
      <c r="M55">
        <v>38786</v>
      </c>
      <c r="N55">
        <v>32178.76</v>
      </c>
      <c r="O55">
        <v>6607.24</v>
      </c>
      <c r="P55" t="s">
        <v>73</v>
      </c>
      <c r="Q55">
        <v>2.2000000000000002</v>
      </c>
      <c r="R55" t="s">
        <v>30</v>
      </c>
      <c r="S55" t="s">
        <v>58</v>
      </c>
      <c r="T55">
        <v>2024</v>
      </c>
    </row>
    <row r="56" spans="1:20" x14ac:dyDescent="0.3">
      <c r="A56" t="s">
        <v>226</v>
      </c>
      <c r="B56" t="s">
        <v>227</v>
      </c>
      <c r="C56" t="s">
        <v>97</v>
      </c>
      <c r="D56" t="s">
        <v>69</v>
      </c>
      <c r="E56" t="s">
        <v>70</v>
      </c>
      <c r="F56" t="s">
        <v>54</v>
      </c>
      <c r="G56" t="s">
        <v>228</v>
      </c>
      <c r="H56" t="s">
        <v>56</v>
      </c>
      <c r="I56" t="s">
        <v>180</v>
      </c>
      <c r="J56">
        <v>1</v>
      </c>
      <c r="K56">
        <v>29745</v>
      </c>
      <c r="L56">
        <v>10</v>
      </c>
      <c r="M56">
        <v>29745</v>
      </c>
      <c r="N56">
        <v>24194.799999999999</v>
      </c>
      <c r="O56">
        <v>5550.2</v>
      </c>
      <c r="P56" t="s">
        <v>41</v>
      </c>
      <c r="Q56">
        <v>3.6</v>
      </c>
      <c r="R56" t="s">
        <v>30</v>
      </c>
      <c r="S56" t="s">
        <v>74</v>
      </c>
      <c r="T56">
        <v>2024</v>
      </c>
    </row>
    <row r="57" spans="1:20" x14ac:dyDescent="0.3">
      <c r="A57" t="s">
        <v>229</v>
      </c>
      <c r="B57" t="s">
        <v>230</v>
      </c>
      <c r="C57" t="s">
        <v>116</v>
      </c>
      <c r="D57" t="s">
        <v>132</v>
      </c>
      <c r="E57" t="s">
        <v>158</v>
      </c>
      <c r="F57" t="s">
        <v>37</v>
      </c>
      <c r="G57" t="s">
        <v>38</v>
      </c>
      <c r="H57" t="s">
        <v>39</v>
      </c>
      <c r="I57" t="s">
        <v>40</v>
      </c>
      <c r="J57">
        <v>5</v>
      </c>
      <c r="K57">
        <v>39176.54</v>
      </c>
      <c r="L57">
        <v>15</v>
      </c>
      <c r="M57">
        <v>195882.7</v>
      </c>
      <c r="N57">
        <v>145860.42000000001</v>
      </c>
      <c r="O57">
        <v>50022.28</v>
      </c>
      <c r="P57" t="s">
        <v>144</v>
      </c>
      <c r="Q57">
        <v>4.0999999999999996</v>
      </c>
      <c r="R57" t="s">
        <v>30</v>
      </c>
      <c r="S57" t="s">
        <v>107</v>
      </c>
      <c r="T57">
        <v>2024</v>
      </c>
    </row>
    <row r="58" spans="1:20" x14ac:dyDescent="0.3">
      <c r="A58" t="s">
        <v>231</v>
      </c>
      <c r="B58" t="s">
        <v>232</v>
      </c>
      <c r="C58" t="s">
        <v>116</v>
      </c>
      <c r="D58" t="s">
        <v>132</v>
      </c>
      <c r="E58" t="s">
        <v>133</v>
      </c>
      <c r="F58" t="s">
        <v>37</v>
      </c>
      <c r="G58" t="s">
        <v>38</v>
      </c>
      <c r="H58" t="s">
        <v>39</v>
      </c>
      <c r="I58" t="s">
        <v>40</v>
      </c>
      <c r="J58">
        <v>5</v>
      </c>
      <c r="K58">
        <v>18075.189999999999</v>
      </c>
      <c r="L58">
        <v>20</v>
      </c>
      <c r="M58">
        <v>90375.95</v>
      </c>
      <c r="N58">
        <v>70919.91</v>
      </c>
      <c r="O58">
        <v>19456.04</v>
      </c>
      <c r="P58" t="s">
        <v>29</v>
      </c>
      <c r="Q58">
        <v>1.7</v>
      </c>
      <c r="R58" t="s">
        <v>30</v>
      </c>
      <c r="S58" t="s">
        <v>31</v>
      </c>
      <c r="T58">
        <v>2024</v>
      </c>
    </row>
    <row r="59" spans="1:20" x14ac:dyDescent="0.3">
      <c r="A59" t="s">
        <v>233</v>
      </c>
      <c r="B59" t="s">
        <v>234</v>
      </c>
      <c r="C59" t="s">
        <v>200</v>
      </c>
      <c r="D59" t="s">
        <v>98</v>
      </c>
      <c r="E59" t="s">
        <v>99</v>
      </c>
      <c r="F59" t="s">
        <v>25</v>
      </c>
      <c r="G59" t="s">
        <v>111</v>
      </c>
      <c r="H59" t="s">
        <v>235</v>
      </c>
      <c r="I59" t="s">
        <v>28</v>
      </c>
      <c r="J59">
        <v>4</v>
      </c>
      <c r="K59">
        <v>18830.59</v>
      </c>
      <c r="L59">
        <v>30</v>
      </c>
      <c r="M59">
        <v>75322.36</v>
      </c>
      <c r="N59">
        <v>62095.33</v>
      </c>
      <c r="O59">
        <v>13227.03</v>
      </c>
      <c r="P59" t="s">
        <v>144</v>
      </c>
      <c r="Q59">
        <v>3.6</v>
      </c>
      <c r="R59" t="s">
        <v>30</v>
      </c>
      <c r="S59" t="s">
        <v>49</v>
      </c>
      <c r="T59">
        <v>2024</v>
      </c>
    </row>
    <row r="60" spans="1:20" x14ac:dyDescent="0.3">
      <c r="A60" t="s">
        <v>236</v>
      </c>
      <c r="B60" t="s">
        <v>237</v>
      </c>
      <c r="C60" t="s">
        <v>97</v>
      </c>
      <c r="D60" t="s">
        <v>132</v>
      </c>
      <c r="E60" t="s">
        <v>133</v>
      </c>
      <c r="F60" t="s">
        <v>54</v>
      </c>
      <c r="G60" t="s">
        <v>55</v>
      </c>
      <c r="H60" t="s">
        <v>91</v>
      </c>
      <c r="I60" t="s">
        <v>180</v>
      </c>
      <c r="J60">
        <v>4</v>
      </c>
      <c r="K60">
        <v>38476.480000000003</v>
      </c>
      <c r="L60">
        <v>20</v>
      </c>
      <c r="M60">
        <v>153905.92000000001</v>
      </c>
      <c r="N60">
        <v>123193.23</v>
      </c>
      <c r="O60">
        <v>30712.69</v>
      </c>
      <c r="P60" t="s">
        <v>122</v>
      </c>
      <c r="Q60">
        <v>2</v>
      </c>
      <c r="R60" t="s">
        <v>30</v>
      </c>
      <c r="S60" t="s">
        <v>162</v>
      </c>
      <c r="T60">
        <v>2024</v>
      </c>
    </row>
    <row r="61" spans="1:20" x14ac:dyDescent="0.3">
      <c r="A61" t="s">
        <v>238</v>
      </c>
      <c r="B61" t="s">
        <v>239</v>
      </c>
      <c r="C61" t="s">
        <v>80</v>
      </c>
      <c r="D61" t="s">
        <v>35</v>
      </c>
      <c r="E61" t="s">
        <v>36</v>
      </c>
      <c r="F61" t="s">
        <v>54</v>
      </c>
      <c r="G61" t="s">
        <v>228</v>
      </c>
      <c r="H61" t="s">
        <v>179</v>
      </c>
      <c r="I61" t="s">
        <v>57</v>
      </c>
      <c r="J61">
        <v>2</v>
      </c>
      <c r="K61">
        <v>27120.36</v>
      </c>
      <c r="L61">
        <v>25</v>
      </c>
      <c r="M61">
        <v>54240.72</v>
      </c>
      <c r="N61">
        <v>45155.08</v>
      </c>
      <c r="O61">
        <v>9085.64</v>
      </c>
      <c r="P61" t="s">
        <v>122</v>
      </c>
      <c r="Q61">
        <v>3.8</v>
      </c>
      <c r="R61" t="s">
        <v>30</v>
      </c>
      <c r="S61" t="s">
        <v>119</v>
      </c>
      <c r="T61">
        <v>2024</v>
      </c>
    </row>
    <row r="62" spans="1:20" x14ac:dyDescent="0.3">
      <c r="A62" t="s">
        <v>240</v>
      </c>
      <c r="B62" t="s">
        <v>241</v>
      </c>
      <c r="C62" t="s">
        <v>168</v>
      </c>
      <c r="D62" t="s">
        <v>23</v>
      </c>
      <c r="E62" t="s">
        <v>24</v>
      </c>
      <c r="F62" t="s">
        <v>25</v>
      </c>
      <c r="G62" t="s">
        <v>26</v>
      </c>
      <c r="H62" t="s">
        <v>129</v>
      </c>
      <c r="I62" t="s">
        <v>28</v>
      </c>
      <c r="J62">
        <v>5</v>
      </c>
      <c r="K62">
        <v>31627</v>
      </c>
      <c r="L62">
        <v>25</v>
      </c>
      <c r="M62">
        <v>158135</v>
      </c>
      <c r="N62">
        <v>115579.55</v>
      </c>
      <c r="O62">
        <v>42555.45</v>
      </c>
      <c r="P62" t="s">
        <v>29</v>
      </c>
      <c r="Q62">
        <v>3.1</v>
      </c>
      <c r="R62" t="s">
        <v>30</v>
      </c>
      <c r="S62" t="s">
        <v>78</v>
      </c>
      <c r="T62">
        <v>2024</v>
      </c>
    </row>
    <row r="63" spans="1:20" x14ac:dyDescent="0.3">
      <c r="A63" t="s">
        <v>242</v>
      </c>
      <c r="B63" t="s">
        <v>243</v>
      </c>
      <c r="C63" t="s">
        <v>22</v>
      </c>
      <c r="D63" t="s">
        <v>23</v>
      </c>
      <c r="E63" t="s">
        <v>24</v>
      </c>
      <c r="F63" t="s">
        <v>25</v>
      </c>
      <c r="G63" t="s">
        <v>111</v>
      </c>
      <c r="H63" t="s">
        <v>121</v>
      </c>
      <c r="I63" t="s">
        <v>28</v>
      </c>
      <c r="J63">
        <v>3</v>
      </c>
      <c r="K63">
        <v>14505.79</v>
      </c>
      <c r="L63">
        <v>15</v>
      </c>
      <c r="M63">
        <v>43517.37</v>
      </c>
      <c r="N63">
        <v>33058.21</v>
      </c>
      <c r="O63">
        <v>10459.16</v>
      </c>
      <c r="P63" t="s">
        <v>41</v>
      </c>
      <c r="Q63">
        <v>3.9</v>
      </c>
      <c r="R63" t="s">
        <v>30</v>
      </c>
      <c r="S63" t="s">
        <v>78</v>
      </c>
      <c r="T63">
        <v>2024</v>
      </c>
    </row>
    <row r="64" spans="1:20" x14ac:dyDescent="0.3">
      <c r="A64" t="s">
        <v>244</v>
      </c>
      <c r="B64" t="s">
        <v>164</v>
      </c>
      <c r="C64" t="s">
        <v>90</v>
      </c>
      <c r="D64" t="s">
        <v>35</v>
      </c>
      <c r="E64" t="s">
        <v>36</v>
      </c>
      <c r="F64" t="s">
        <v>54</v>
      </c>
      <c r="G64" t="s">
        <v>91</v>
      </c>
      <c r="H64" t="s">
        <v>56</v>
      </c>
      <c r="I64" t="s">
        <v>118</v>
      </c>
      <c r="J64">
        <v>3</v>
      </c>
      <c r="K64">
        <v>15229.67</v>
      </c>
      <c r="L64">
        <v>25</v>
      </c>
      <c r="M64">
        <v>45689.01</v>
      </c>
      <c r="N64">
        <v>37212.019999999997</v>
      </c>
      <c r="O64">
        <v>8476.99</v>
      </c>
      <c r="P64" t="s">
        <v>122</v>
      </c>
      <c r="Q64">
        <v>2.7</v>
      </c>
      <c r="R64" t="s">
        <v>30</v>
      </c>
      <c r="S64" t="s">
        <v>78</v>
      </c>
      <c r="T64">
        <v>2024</v>
      </c>
    </row>
    <row r="65" spans="1:20" x14ac:dyDescent="0.3">
      <c r="A65" t="s">
        <v>245</v>
      </c>
      <c r="B65" t="s">
        <v>246</v>
      </c>
      <c r="C65" t="s">
        <v>168</v>
      </c>
      <c r="D65" t="s">
        <v>125</v>
      </c>
      <c r="E65" t="s">
        <v>126</v>
      </c>
      <c r="F65" t="s">
        <v>62</v>
      </c>
      <c r="G65" t="s">
        <v>71</v>
      </c>
      <c r="H65" t="s">
        <v>83</v>
      </c>
      <c r="I65" t="s">
        <v>143</v>
      </c>
      <c r="J65">
        <v>3</v>
      </c>
      <c r="K65">
        <v>2158.12</v>
      </c>
      <c r="L65">
        <v>5</v>
      </c>
      <c r="M65">
        <v>6474.36</v>
      </c>
      <c r="N65">
        <v>4790.63</v>
      </c>
      <c r="O65">
        <v>1683.73</v>
      </c>
      <c r="P65" t="s">
        <v>113</v>
      </c>
      <c r="Q65">
        <v>3.4</v>
      </c>
      <c r="R65" t="s">
        <v>30</v>
      </c>
      <c r="S65" t="s">
        <v>87</v>
      </c>
      <c r="T65">
        <v>2025</v>
      </c>
    </row>
    <row r="66" spans="1:20" x14ac:dyDescent="0.3">
      <c r="A66" t="s">
        <v>247</v>
      </c>
      <c r="B66" t="s">
        <v>248</v>
      </c>
      <c r="C66" t="s">
        <v>97</v>
      </c>
      <c r="D66" t="s">
        <v>23</v>
      </c>
      <c r="E66" t="s">
        <v>24</v>
      </c>
      <c r="F66" t="s">
        <v>45</v>
      </c>
      <c r="G66" t="s">
        <v>105</v>
      </c>
      <c r="H66" t="s">
        <v>106</v>
      </c>
      <c r="I66" t="s">
        <v>169</v>
      </c>
      <c r="J66">
        <v>2</v>
      </c>
      <c r="K66">
        <v>11106.19</v>
      </c>
      <c r="L66">
        <v>20</v>
      </c>
      <c r="M66">
        <v>22212.38</v>
      </c>
      <c r="N66">
        <v>15927.98</v>
      </c>
      <c r="O66">
        <v>6284.4</v>
      </c>
      <c r="P66" t="s">
        <v>73</v>
      </c>
      <c r="Q66">
        <v>1.1000000000000001</v>
      </c>
      <c r="R66" t="s">
        <v>30</v>
      </c>
      <c r="S66" t="s">
        <v>42</v>
      </c>
      <c r="T66">
        <v>2024</v>
      </c>
    </row>
    <row r="67" spans="1:20" x14ac:dyDescent="0.3">
      <c r="A67" t="s">
        <v>249</v>
      </c>
      <c r="B67" t="s">
        <v>214</v>
      </c>
      <c r="C67" t="s">
        <v>97</v>
      </c>
      <c r="D67" t="s">
        <v>69</v>
      </c>
      <c r="E67" t="s">
        <v>155</v>
      </c>
      <c r="F67" t="s">
        <v>25</v>
      </c>
      <c r="G67" t="s">
        <v>111</v>
      </c>
      <c r="H67" t="s">
        <v>27</v>
      </c>
      <c r="I67" t="s">
        <v>112</v>
      </c>
      <c r="J67">
        <v>2</v>
      </c>
      <c r="K67">
        <v>21690.55</v>
      </c>
      <c r="L67">
        <v>5</v>
      </c>
      <c r="M67">
        <v>43381.1</v>
      </c>
      <c r="N67">
        <v>36440.47</v>
      </c>
      <c r="O67">
        <v>6940.63</v>
      </c>
      <c r="P67" t="s">
        <v>122</v>
      </c>
      <c r="Q67">
        <v>1.9</v>
      </c>
      <c r="R67" t="s">
        <v>159</v>
      </c>
      <c r="S67" t="s">
        <v>58</v>
      </c>
      <c r="T67">
        <v>2024</v>
      </c>
    </row>
    <row r="68" spans="1:20" x14ac:dyDescent="0.3">
      <c r="A68" t="s">
        <v>250</v>
      </c>
      <c r="B68" t="s">
        <v>251</v>
      </c>
      <c r="C68" t="s">
        <v>34</v>
      </c>
      <c r="D68" t="s">
        <v>81</v>
      </c>
      <c r="E68" t="s">
        <v>128</v>
      </c>
      <c r="F68" t="s">
        <v>45</v>
      </c>
      <c r="G68" t="s">
        <v>105</v>
      </c>
      <c r="H68" t="s">
        <v>176</v>
      </c>
      <c r="I68" t="s">
        <v>48</v>
      </c>
      <c r="J68">
        <v>4</v>
      </c>
      <c r="K68">
        <v>4225.6899999999996</v>
      </c>
      <c r="L68">
        <v>30</v>
      </c>
      <c r="M68">
        <v>16902.759999999998</v>
      </c>
      <c r="N68">
        <v>11744.43</v>
      </c>
      <c r="O68">
        <v>5158.33</v>
      </c>
      <c r="P68" t="s">
        <v>122</v>
      </c>
      <c r="Q68">
        <v>2.5</v>
      </c>
      <c r="R68" t="s">
        <v>30</v>
      </c>
      <c r="S68" t="s">
        <v>49</v>
      </c>
      <c r="T68">
        <v>2024</v>
      </c>
    </row>
    <row r="69" spans="1:20" x14ac:dyDescent="0.3">
      <c r="A69" t="s">
        <v>252</v>
      </c>
      <c r="B69" t="s">
        <v>253</v>
      </c>
      <c r="C69" t="s">
        <v>168</v>
      </c>
      <c r="D69" t="s">
        <v>132</v>
      </c>
      <c r="E69" t="s">
        <v>158</v>
      </c>
      <c r="F69" t="s">
        <v>54</v>
      </c>
      <c r="G69" t="s">
        <v>91</v>
      </c>
      <c r="H69" t="s">
        <v>56</v>
      </c>
      <c r="I69" t="s">
        <v>118</v>
      </c>
      <c r="J69">
        <v>1</v>
      </c>
      <c r="K69">
        <v>23621.02</v>
      </c>
      <c r="L69">
        <v>25</v>
      </c>
      <c r="M69">
        <v>23621.02</v>
      </c>
      <c r="N69">
        <v>18889.75</v>
      </c>
      <c r="O69">
        <v>4731.2700000000004</v>
      </c>
      <c r="P69" t="s">
        <v>73</v>
      </c>
      <c r="Q69">
        <v>4.7</v>
      </c>
      <c r="R69" t="s">
        <v>30</v>
      </c>
      <c r="S69" t="s">
        <v>102</v>
      </c>
      <c r="T69">
        <v>2024</v>
      </c>
    </row>
    <row r="70" spans="1:20" x14ac:dyDescent="0.3">
      <c r="A70" t="s">
        <v>254</v>
      </c>
      <c r="B70" t="s">
        <v>255</v>
      </c>
      <c r="C70" t="s">
        <v>80</v>
      </c>
      <c r="D70" t="s">
        <v>69</v>
      </c>
      <c r="E70" t="s">
        <v>70</v>
      </c>
      <c r="F70" t="s">
        <v>25</v>
      </c>
      <c r="G70" t="s">
        <v>111</v>
      </c>
      <c r="H70" t="s">
        <v>27</v>
      </c>
      <c r="I70" t="s">
        <v>112</v>
      </c>
      <c r="J70">
        <v>3</v>
      </c>
      <c r="K70">
        <v>38937.919999999998</v>
      </c>
      <c r="L70">
        <v>20</v>
      </c>
      <c r="M70">
        <v>116813.75999999999</v>
      </c>
      <c r="N70">
        <v>93799.31</v>
      </c>
      <c r="O70">
        <v>23014.45</v>
      </c>
      <c r="P70" t="s">
        <v>122</v>
      </c>
      <c r="Q70">
        <v>3.4</v>
      </c>
      <c r="R70" t="s">
        <v>30</v>
      </c>
      <c r="S70" t="s">
        <v>107</v>
      </c>
      <c r="T70">
        <v>2024</v>
      </c>
    </row>
    <row r="71" spans="1:20" x14ac:dyDescent="0.3">
      <c r="A71" t="s">
        <v>256</v>
      </c>
      <c r="B71" t="s">
        <v>257</v>
      </c>
      <c r="C71" t="s">
        <v>61</v>
      </c>
      <c r="D71" t="s">
        <v>69</v>
      </c>
      <c r="E71" t="s">
        <v>155</v>
      </c>
      <c r="F71" t="s">
        <v>62</v>
      </c>
      <c r="G71" t="s">
        <v>63</v>
      </c>
      <c r="H71" t="s">
        <v>64</v>
      </c>
      <c r="I71" t="s">
        <v>143</v>
      </c>
      <c r="J71">
        <v>1</v>
      </c>
      <c r="K71">
        <v>2707.97</v>
      </c>
      <c r="L71">
        <v>30</v>
      </c>
      <c r="M71">
        <v>2707.97</v>
      </c>
      <c r="N71">
        <v>1848.31</v>
      </c>
      <c r="O71">
        <v>859.66</v>
      </c>
      <c r="P71" t="s">
        <v>144</v>
      </c>
      <c r="Q71">
        <v>1.2</v>
      </c>
      <c r="R71" t="s">
        <v>30</v>
      </c>
      <c r="S71" t="s">
        <v>107</v>
      </c>
      <c r="T71">
        <v>2024</v>
      </c>
    </row>
    <row r="72" spans="1:20" x14ac:dyDescent="0.3">
      <c r="A72" t="s">
        <v>258</v>
      </c>
      <c r="B72" t="s">
        <v>259</v>
      </c>
      <c r="C72" t="s">
        <v>136</v>
      </c>
      <c r="D72" t="s">
        <v>125</v>
      </c>
      <c r="E72" t="s">
        <v>126</v>
      </c>
      <c r="F72" t="s">
        <v>45</v>
      </c>
      <c r="G72" t="s">
        <v>46</v>
      </c>
      <c r="H72" t="s">
        <v>47</v>
      </c>
      <c r="I72" t="s">
        <v>101</v>
      </c>
      <c r="J72">
        <v>4</v>
      </c>
      <c r="K72">
        <v>23715.42</v>
      </c>
      <c r="L72">
        <v>10</v>
      </c>
      <c r="M72">
        <v>94861.68</v>
      </c>
      <c r="N72">
        <v>76429.48</v>
      </c>
      <c r="O72">
        <v>18432.2</v>
      </c>
      <c r="P72" t="s">
        <v>113</v>
      </c>
      <c r="Q72">
        <v>2</v>
      </c>
      <c r="R72" t="s">
        <v>30</v>
      </c>
      <c r="S72" t="s">
        <v>94</v>
      </c>
      <c r="T72">
        <v>2024</v>
      </c>
    </row>
    <row r="73" spans="1:20" x14ac:dyDescent="0.3">
      <c r="A73" t="s">
        <v>260</v>
      </c>
      <c r="B73" t="s">
        <v>261</v>
      </c>
      <c r="C73" t="s">
        <v>90</v>
      </c>
      <c r="D73" t="s">
        <v>125</v>
      </c>
      <c r="E73" t="s">
        <v>126</v>
      </c>
      <c r="F73" t="s">
        <v>54</v>
      </c>
      <c r="G73" t="s">
        <v>91</v>
      </c>
      <c r="H73" t="s">
        <v>92</v>
      </c>
      <c r="I73" t="s">
        <v>57</v>
      </c>
      <c r="J73">
        <v>2</v>
      </c>
      <c r="K73">
        <v>9083.5</v>
      </c>
      <c r="L73">
        <v>15</v>
      </c>
      <c r="M73">
        <v>18167</v>
      </c>
      <c r="N73">
        <v>12133.2</v>
      </c>
      <c r="O73">
        <v>6033.8</v>
      </c>
      <c r="P73" t="s">
        <v>41</v>
      </c>
      <c r="Q73">
        <v>1.8</v>
      </c>
      <c r="R73" t="s">
        <v>30</v>
      </c>
      <c r="S73" t="s">
        <v>78</v>
      </c>
      <c r="T73">
        <v>2024</v>
      </c>
    </row>
    <row r="74" spans="1:20" x14ac:dyDescent="0.3">
      <c r="A74" t="s">
        <v>262</v>
      </c>
      <c r="B74" t="s">
        <v>263</v>
      </c>
      <c r="C74" t="s">
        <v>200</v>
      </c>
      <c r="D74" t="s">
        <v>35</v>
      </c>
      <c r="E74" t="s">
        <v>36</v>
      </c>
      <c r="F74" t="s">
        <v>45</v>
      </c>
      <c r="G74" t="s">
        <v>105</v>
      </c>
      <c r="H74" t="s">
        <v>106</v>
      </c>
      <c r="I74" t="s">
        <v>101</v>
      </c>
      <c r="J74">
        <v>4</v>
      </c>
      <c r="K74">
        <v>26379.35</v>
      </c>
      <c r="L74">
        <v>10</v>
      </c>
      <c r="M74">
        <v>105517.4</v>
      </c>
      <c r="N74">
        <v>69968.740000000005</v>
      </c>
      <c r="O74">
        <v>35548.660000000003</v>
      </c>
      <c r="P74" t="s">
        <v>41</v>
      </c>
      <c r="Q74">
        <v>3</v>
      </c>
      <c r="R74" t="s">
        <v>30</v>
      </c>
      <c r="S74" t="s">
        <v>31</v>
      </c>
      <c r="T74">
        <v>2024</v>
      </c>
    </row>
    <row r="75" spans="1:20" x14ac:dyDescent="0.3">
      <c r="A75" t="s">
        <v>264</v>
      </c>
      <c r="B75" t="s">
        <v>265</v>
      </c>
      <c r="C75" t="s">
        <v>136</v>
      </c>
      <c r="D75" t="s">
        <v>35</v>
      </c>
      <c r="E75" t="s">
        <v>36</v>
      </c>
      <c r="F75" t="s">
        <v>37</v>
      </c>
      <c r="G75" t="s">
        <v>38</v>
      </c>
      <c r="H75" t="s">
        <v>86</v>
      </c>
      <c r="I75" t="s">
        <v>40</v>
      </c>
      <c r="J75">
        <v>3</v>
      </c>
      <c r="K75">
        <v>34023.96</v>
      </c>
      <c r="L75">
        <v>5</v>
      </c>
      <c r="M75">
        <v>102071.88</v>
      </c>
      <c r="N75">
        <v>72069.98</v>
      </c>
      <c r="O75">
        <v>30001.9</v>
      </c>
      <c r="P75" t="s">
        <v>122</v>
      </c>
      <c r="Q75">
        <v>4.5999999999999996</v>
      </c>
      <c r="R75" t="s">
        <v>30</v>
      </c>
      <c r="S75" t="s">
        <v>102</v>
      </c>
      <c r="T75">
        <v>2024</v>
      </c>
    </row>
    <row r="76" spans="1:20" x14ac:dyDescent="0.3">
      <c r="A76" t="s">
        <v>266</v>
      </c>
      <c r="B76" t="s">
        <v>267</v>
      </c>
      <c r="C76" t="s">
        <v>168</v>
      </c>
      <c r="D76" t="s">
        <v>81</v>
      </c>
      <c r="E76" t="s">
        <v>82</v>
      </c>
      <c r="F76" t="s">
        <v>37</v>
      </c>
      <c r="G76" t="s">
        <v>38</v>
      </c>
      <c r="H76" t="s">
        <v>77</v>
      </c>
      <c r="I76" t="s">
        <v>40</v>
      </c>
      <c r="J76">
        <v>4</v>
      </c>
      <c r="K76">
        <v>1542.1</v>
      </c>
      <c r="L76">
        <v>25</v>
      </c>
      <c r="M76">
        <v>6168.4</v>
      </c>
      <c r="N76">
        <v>4713.0200000000004</v>
      </c>
      <c r="O76">
        <v>1455.38</v>
      </c>
      <c r="P76" t="s">
        <v>122</v>
      </c>
      <c r="Q76">
        <v>1</v>
      </c>
      <c r="R76" t="s">
        <v>30</v>
      </c>
      <c r="S76" t="s">
        <v>162</v>
      </c>
      <c r="T76">
        <v>2024</v>
      </c>
    </row>
    <row r="77" spans="1:20" x14ac:dyDescent="0.3">
      <c r="A77" t="s">
        <v>268</v>
      </c>
      <c r="B77" t="s">
        <v>269</v>
      </c>
      <c r="C77" t="s">
        <v>80</v>
      </c>
      <c r="D77" t="s">
        <v>132</v>
      </c>
      <c r="E77" t="s">
        <v>158</v>
      </c>
      <c r="F77" t="s">
        <v>25</v>
      </c>
      <c r="G77" t="s">
        <v>26</v>
      </c>
      <c r="H77" t="s">
        <v>221</v>
      </c>
      <c r="I77" t="s">
        <v>112</v>
      </c>
      <c r="J77">
        <v>3</v>
      </c>
      <c r="K77">
        <v>42981.08</v>
      </c>
      <c r="L77">
        <v>15</v>
      </c>
      <c r="M77">
        <v>128943.24</v>
      </c>
      <c r="N77">
        <v>105613.53</v>
      </c>
      <c r="O77">
        <v>23329.71</v>
      </c>
      <c r="P77" t="s">
        <v>113</v>
      </c>
      <c r="Q77">
        <v>3.8</v>
      </c>
      <c r="R77" t="s">
        <v>30</v>
      </c>
      <c r="S77" t="s">
        <v>94</v>
      </c>
      <c r="T77">
        <v>2024</v>
      </c>
    </row>
    <row r="78" spans="1:20" x14ac:dyDescent="0.3">
      <c r="A78" t="s">
        <v>270</v>
      </c>
      <c r="B78" t="s">
        <v>135</v>
      </c>
      <c r="C78" t="s">
        <v>22</v>
      </c>
      <c r="D78" t="s">
        <v>35</v>
      </c>
      <c r="E78" t="s">
        <v>36</v>
      </c>
      <c r="F78" t="s">
        <v>62</v>
      </c>
      <c r="G78" t="s">
        <v>63</v>
      </c>
      <c r="H78" t="s">
        <v>271</v>
      </c>
      <c r="I78" t="s">
        <v>165</v>
      </c>
      <c r="J78">
        <v>5</v>
      </c>
      <c r="K78">
        <v>46338.29</v>
      </c>
      <c r="L78">
        <v>25</v>
      </c>
      <c r="M78">
        <v>231691.45</v>
      </c>
      <c r="N78">
        <v>156602.70000000001</v>
      </c>
      <c r="O78">
        <v>75088.75</v>
      </c>
      <c r="P78" t="s">
        <v>113</v>
      </c>
      <c r="Q78">
        <v>3.4</v>
      </c>
      <c r="R78" t="s">
        <v>30</v>
      </c>
      <c r="S78" t="s">
        <v>94</v>
      </c>
      <c r="T78">
        <v>2024</v>
      </c>
    </row>
    <row r="79" spans="1:20" x14ac:dyDescent="0.3">
      <c r="A79" t="s">
        <v>272</v>
      </c>
      <c r="B79" t="s">
        <v>273</v>
      </c>
      <c r="C79" t="s">
        <v>34</v>
      </c>
      <c r="D79" t="s">
        <v>81</v>
      </c>
      <c r="E79" t="s">
        <v>149</v>
      </c>
      <c r="F79" t="s">
        <v>54</v>
      </c>
      <c r="G79" t="s">
        <v>228</v>
      </c>
      <c r="H79" t="s">
        <v>91</v>
      </c>
      <c r="I79" t="s">
        <v>185</v>
      </c>
      <c r="J79">
        <v>1</v>
      </c>
      <c r="K79">
        <v>34161.440000000002</v>
      </c>
      <c r="L79">
        <v>15</v>
      </c>
      <c r="M79">
        <v>34161.440000000002</v>
      </c>
      <c r="N79">
        <v>23663.57</v>
      </c>
      <c r="O79">
        <v>10497.87</v>
      </c>
      <c r="P79" t="s">
        <v>73</v>
      </c>
      <c r="Q79">
        <v>2.4</v>
      </c>
      <c r="R79" t="s">
        <v>30</v>
      </c>
      <c r="S79" t="s">
        <v>119</v>
      </c>
      <c r="T79">
        <v>2024</v>
      </c>
    </row>
    <row r="80" spans="1:20" x14ac:dyDescent="0.3">
      <c r="A80" t="s">
        <v>274</v>
      </c>
      <c r="B80" t="s">
        <v>275</v>
      </c>
      <c r="C80" t="s">
        <v>80</v>
      </c>
      <c r="D80" t="s">
        <v>81</v>
      </c>
      <c r="E80" t="s">
        <v>82</v>
      </c>
      <c r="F80" t="s">
        <v>45</v>
      </c>
      <c r="G80" t="s">
        <v>46</v>
      </c>
      <c r="H80" t="s">
        <v>106</v>
      </c>
      <c r="I80" t="s">
        <v>169</v>
      </c>
      <c r="J80">
        <v>5</v>
      </c>
      <c r="K80">
        <v>21317.31</v>
      </c>
      <c r="L80">
        <v>10</v>
      </c>
      <c r="M80">
        <v>106586.55</v>
      </c>
      <c r="N80">
        <v>87451.53</v>
      </c>
      <c r="O80">
        <v>19135.02</v>
      </c>
      <c r="P80" t="s">
        <v>122</v>
      </c>
      <c r="Q80">
        <v>4</v>
      </c>
      <c r="R80" t="s">
        <v>30</v>
      </c>
      <c r="S80" t="s">
        <v>78</v>
      </c>
      <c r="T80">
        <v>2024</v>
      </c>
    </row>
    <row r="81" spans="1:20" x14ac:dyDescent="0.3">
      <c r="A81" t="s">
        <v>276</v>
      </c>
      <c r="B81" t="s">
        <v>184</v>
      </c>
      <c r="C81" t="s">
        <v>136</v>
      </c>
      <c r="D81" t="s">
        <v>81</v>
      </c>
      <c r="E81" t="s">
        <v>149</v>
      </c>
      <c r="F81" t="s">
        <v>45</v>
      </c>
      <c r="G81" t="s">
        <v>46</v>
      </c>
      <c r="H81" t="s">
        <v>47</v>
      </c>
      <c r="I81" t="s">
        <v>48</v>
      </c>
      <c r="J81">
        <v>4</v>
      </c>
      <c r="K81">
        <v>46011.839999999997</v>
      </c>
      <c r="L81">
        <v>10</v>
      </c>
      <c r="M81">
        <v>184047.35999999999</v>
      </c>
      <c r="N81">
        <v>155853.32</v>
      </c>
      <c r="O81">
        <v>28194.04</v>
      </c>
      <c r="P81" t="s">
        <v>113</v>
      </c>
      <c r="Q81">
        <v>3.3</v>
      </c>
      <c r="R81" t="s">
        <v>30</v>
      </c>
      <c r="S81" t="s">
        <v>49</v>
      </c>
      <c r="T81">
        <v>2024</v>
      </c>
    </row>
    <row r="82" spans="1:20" x14ac:dyDescent="0.3">
      <c r="A82" t="s">
        <v>277</v>
      </c>
      <c r="B82" t="s">
        <v>278</v>
      </c>
      <c r="C82" t="s">
        <v>136</v>
      </c>
      <c r="D82" t="s">
        <v>98</v>
      </c>
      <c r="E82" t="s">
        <v>99</v>
      </c>
      <c r="F82" t="s">
        <v>45</v>
      </c>
      <c r="G82" t="s">
        <v>105</v>
      </c>
      <c r="H82" t="s">
        <v>100</v>
      </c>
      <c r="I82" t="s">
        <v>101</v>
      </c>
      <c r="J82">
        <v>1</v>
      </c>
      <c r="K82">
        <v>2097.9899999999998</v>
      </c>
      <c r="L82">
        <v>30</v>
      </c>
      <c r="M82">
        <v>2097.9899999999998</v>
      </c>
      <c r="N82">
        <v>1739.43</v>
      </c>
      <c r="O82">
        <v>358.56</v>
      </c>
      <c r="P82" t="s">
        <v>29</v>
      </c>
      <c r="Q82">
        <v>3.2</v>
      </c>
      <c r="R82" t="s">
        <v>30</v>
      </c>
      <c r="S82" t="s">
        <v>102</v>
      </c>
      <c r="T82">
        <v>2025</v>
      </c>
    </row>
    <row r="83" spans="1:20" x14ac:dyDescent="0.3">
      <c r="A83" t="s">
        <v>279</v>
      </c>
      <c r="B83" t="s">
        <v>280</v>
      </c>
      <c r="C83" t="s">
        <v>80</v>
      </c>
      <c r="D83" t="s">
        <v>132</v>
      </c>
      <c r="E83" t="s">
        <v>133</v>
      </c>
      <c r="F83" t="s">
        <v>54</v>
      </c>
      <c r="G83" t="s">
        <v>201</v>
      </c>
      <c r="H83" t="s">
        <v>117</v>
      </c>
      <c r="I83" t="s">
        <v>185</v>
      </c>
      <c r="J83">
        <v>3</v>
      </c>
      <c r="K83">
        <v>17104.91</v>
      </c>
      <c r="L83">
        <v>30</v>
      </c>
      <c r="M83">
        <v>51314.73</v>
      </c>
      <c r="N83">
        <v>39276.01</v>
      </c>
      <c r="O83">
        <v>12038.72</v>
      </c>
      <c r="P83" t="s">
        <v>122</v>
      </c>
      <c r="Q83">
        <v>2.7</v>
      </c>
      <c r="R83" t="s">
        <v>30</v>
      </c>
      <c r="S83" t="s">
        <v>42</v>
      </c>
      <c r="T83">
        <v>2024</v>
      </c>
    </row>
    <row r="84" spans="1:20" x14ac:dyDescent="0.3">
      <c r="A84" t="s">
        <v>281</v>
      </c>
      <c r="B84" t="s">
        <v>282</v>
      </c>
      <c r="C84" t="s">
        <v>168</v>
      </c>
      <c r="D84" t="s">
        <v>23</v>
      </c>
      <c r="E84" t="s">
        <v>24</v>
      </c>
      <c r="F84" t="s">
        <v>62</v>
      </c>
      <c r="G84" t="s">
        <v>71</v>
      </c>
      <c r="H84" t="s">
        <v>271</v>
      </c>
      <c r="I84" t="s">
        <v>165</v>
      </c>
      <c r="J84">
        <v>3</v>
      </c>
      <c r="K84">
        <v>29326.6</v>
      </c>
      <c r="L84">
        <v>25</v>
      </c>
      <c r="M84">
        <v>87979.8</v>
      </c>
      <c r="N84">
        <v>62939.56</v>
      </c>
      <c r="O84">
        <v>25040.240000000002</v>
      </c>
      <c r="P84" t="s">
        <v>122</v>
      </c>
      <c r="Q84">
        <v>4.9000000000000004</v>
      </c>
      <c r="R84" t="s">
        <v>30</v>
      </c>
      <c r="S84" t="s">
        <v>58</v>
      </c>
      <c r="T84">
        <v>2024</v>
      </c>
    </row>
    <row r="85" spans="1:20" x14ac:dyDescent="0.3">
      <c r="A85" t="s">
        <v>283</v>
      </c>
      <c r="B85" t="s">
        <v>223</v>
      </c>
      <c r="C85" t="s">
        <v>22</v>
      </c>
      <c r="D85" t="s">
        <v>23</v>
      </c>
      <c r="E85" t="s">
        <v>24</v>
      </c>
      <c r="F85" t="s">
        <v>54</v>
      </c>
      <c r="G85" t="s">
        <v>228</v>
      </c>
      <c r="H85" t="s">
        <v>91</v>
      </c>
      <c r="I85" t="s">
        <v>118</v>
      </c>
      <c r="J85">
        <v>4</v>
      </c>
      <c r="K85">
        <v>28892.73</v>
      </c>
      <c r="L85">
        <v>20</v>
      </c>
      <c r="M85">
        <v>115570.92</v>
      </c>
      <c r="N85">
        <v>76455.17</v>
      </c>
      <c r="O85">
        <v>39115.75</v>
      </c>
      <c r="P85" t="s">
        <v>113</v>
      </c>
      <c r="Q85">
        <v>1.3</v>
      </c>
      <c r="R85" t="s">
        <v>30</v>
      </c>
      <c r="S85" t="s">
        <v>58</v>
      </c>
      <c r="T85">
        <v>2024</v>
      </c>
    </row>
    <row r="86" spans="1:20" x14ac:dyDescent="0.3">
      <c r="A86" t="s">
        <v>284</v>
      </c>
      <c r="B86" t="s">
        <v>285</v>
      </c>
      <c r="C86" t="s">
        <v>97</v>
      </c>
      <c r="D86" t="s">
        <v>98</v>
      </c>
      <c r="E86" t="s">
        <v>99</v>
      </c>
      <c r="F86" t="s">
        <v>54</v>
      </c>
      <c r="G86" t="s">
        <v>201</v>
      </c>
      <c r="H86" t="s">
        <v>92</v>
      </c>
      <c r="I86" t="s">
        <v>93</v>
      </c>
      <c r="J86">
        <v>4</v>
      </c>
      <c r="K86">
        <v>35033.120000000003</v>
      </c>
      <c r="L86">
        <v>20</v>
      </c>
      <c r="M86">
        <v>140132.48000000001</v>
      </c>
      <c r="N86">
        <v>108098.23</v>
      </c>
      <c r="O86">
        <v>32034.25</v>
      </c>
      <c r="P86" t="s">
        <v>41</v>
      </c>
      <c r="Q86">
        <v>4.7</v>
      </c>
      <c r="R86" t="s">
        <v>66</v>
      </c>
      <c r="S86" t="s">
        <v>42</v>
      </c>
      <c r="T86">
        <v>2024</v>
      </c>
    </row>
    <row r="87" spans="1:20" x14ac:dyDescent="0.3">
      <c r="A87" t="s">
        <v>286</v>
      </c>
      <c r="B87" t="s">
        <v>287</v>
      </c>
      <c r="C87" t="s">
        <v>136</v>
      </c>
      <c r="D87" t="s">
        <v>98</v>
      </c>
      <c r="E87" t="s">
        <v>99</v>
      </c>
      <c r="F87" t="s">
        <v>37</v>
      </c>
      <c r="G87" t="s">
        <v>38</v>
      </c>
      <c r="H87" t="s">
        <v>39</v>
      </c>
      <c r="I87" t="s">
        <v>40</v>
      </c>
      <c r="J87">
        <v>3</v>
      </c>
      <c r="K87">
        <v>40069.300000000003</v>
      </c>
      <c r="L87">
        <v>10</v>
      </c>
      <c r="M87">
        <v>120207.9</v>
      </c>
      <c r="N87">
        <v>79545.240000000005</v>
      </c>
      <c r="O87">
        <v>40662.660000000003</v>
      </c>
      <c r="P87" t="s">
        <v>29</v>
      </c>
      <c r="Q87">
        <v>2.4</v>
      </c>
      <c r="R87" t="s">
        <v>30</v>
      </c>
      <c r="S87" t="s">
        <v>74</v>
      </c>
      <c r="T87">
        <v>2024</v>
      </c>
    </row>
    <row r="88" spans="1:20" x14ac:dyDescent="0.3">
      <c r="A88" t="s">
        <v>288</v>
      </c>
      <c r="B88" t="s">
        <v>289</v>
      </c>
      <c r="C88" t="s">
        <v>90</v>
      </c>
      <c r="D88" t="s">
        <v>35</v>
      </c>
      <c r="E88" t="s">
        <v>36</v>
      </c>
      <c r="F88" t="s">
        <v>25</v>
      </c>
      <c r="G88" t="s">
        <v>111</v>
      </c>
      <c r="H88" t="s">
        <v>121</v>
      </c>
      <c r="I88" t="s">
        <v>112</v>
      </c>
      <c r="J88">
        <v>4</v>
      </c>
      <c r="K88">
        <v>20613.14</v>
      </c>
      <c r="L88">
        <v>30</v>
      </c>
      <c r="M88">
        <v>82452.56</v>
      </c>
      <c r="N88">
        <v>54819.97</v>
      </c>
      <c r="O88">
        <v>27632.59</v>
      </c>
      <c r="P88" t="s">
        <v>41</v>
      </c>
      <c r="Q88">
        <v>3.4</v>
      </c>
      <c r="R88" t="s">
        <v>30</v>
      </c>
      <c r="S88" t="s">
        <v>49</v>
      </c>
      <c r="T88">
        <v>2024</v>
      </c>
    </row>
    <row r="89" spans="1:20" x14ac:dyDescent="0.3">
      <c r="A89" t="s">
        <v>290</v>
      </c>
      <c r="B89" t="s">
        <v>291</v>
      </c>
      <c r="C89" t="s">
        <v>61</v>
      </c>
      <c r="D89" t="s">
        <v>23</v>
      </c>
      <c r="E89" t="s">
        <v>24</v>
      </c>
      <c r="F89" t="s">
        <v>62</v>
      </c>
      <c r="G89" t="s">
        <v>71</v>
      </c>
      <c r="H89" t="s">
        <v>64</v>
      </c>
      <c r="I89" t="s">
        <v>143</v>
      </c>
      <c r="J89">
        <v>5</v>
      </c>
      <c r="K89">
        <v>3432</v>
      </c>
      <c r="L89">
        <v>25</v>
      </c>
      <c r="M89">
        <v>17160</v>
      </c>
      <c r="N89">
        <v>14224.91</v>
      </c>
      <c r="O89">
        <v>2935.09</v>
      </c>
      <c r="P89" t="s">
        <v>122</v>
      </c>
      <c r="Q89">
        <v>3.4</v>
      </c>
      <c r="R89" t="s">
        <v>30</v>
      </c>
      <c r="S89" t="s">
        <v>107</v>
      </c>
      <c r="T89">
        <v>2024</v>
      </c>
    </row>
    <row r="90" spans="1:20" x14ac:dyDescent="0.3">
      <c r="A90" t="s">
        <v>292</v>
      </c>
      <c r="B90" t="s">
        <v>293</v>
      </c>
      <c r="C90" t="s">
        <v>116</v>
      </c>
      <c r="D90" t="s">
        <v>35</v>
      </c>
      <c r="E90" t="s">
        <v>36</v>
      </c>
      <c r="F90" t="s">
        <v>45</v>
      </c>
      <c r="G90" t="s">
        <v>105</v>
      </c>
      <c r="H90" t="s">
        <v>188</v>
      </c>
      <c r="I90" t="s">
        <v>48</v>
      </c>
      <c r="J90">
        <v>3</v>
      </c>
      <c r="K90">
        <v>25752.65</v>
      </c>
      <c r="L90">
        <v>15</v>
      </c>
      <c r="M90">
        <v>77257.95</v>
      </c>
      <c r="N90">
        <v>50637.53</v>
      </c>
      <c r="O90">
        <v>26620.42</v>
      </c>
      <c r="P90" t="s">
        <v>144</v>
      </c>
      <c r="Q90">
        <v>2.5</v>
      </c>
      <c r="R90" t="s">
        <v>30</v>
      </c>
      <c r="S90" t="s">
        <v>119</v>
      </c>
      <c r="T90">
        <v>2024</v>
      </c>
    </row>
    <row r="91" spans="1:20" x14ac:dyDescent="0.3">
      <c r="A91" t="s">
        <v>294</v>
      </c>
      <c r="B91" t="s">
        <v>295</v>
      </c>
      <c r="C91" t="s">
        <v>136</v>
      </c>
      <c r="D91" t="s">
        <v>69</v>
      </c>
      <c r="E91" t="s">
        <v>155</v>
      </c>
      <c r="F91" t="s">
        <v>54</v>
      </c>
      <c r="G91" t="s">
        <v>228</v>
      </c>
      <c r="H91" t="s">
        <v>56</v>
      </c>
      <c r="I91" t="s">
        <v>296</v>
      </c>
      <c r="J91">
        <v>2</v>
      </c>
      <c r="K91">
        <v>30238.47</v>
      </c>
      <c r="L91">
        <v>5</v>
      </c>
      <c r="M91">
        <v>60476.94</v>
      </c>
      <c r="N91">
        <v>46278.68</v>
      </c>
      <c r="O91">
        <v>14198.26</v>
      </c>
      <c r="P91" t="s">
        <v>144</v>
      </c>
      <c r="Q91">
        <v>4</v>
      </c>
      <c r="R91" t="s">
        <v>30</v>
      </c>
      <c r="S91" t="s">
        <v>31</v>
      </c>
      <c r="T91">
        <v>2024</v>
      </c>
    </row>
    <row r="92" spans="1:20" x14ac:dyDescent="0.3">
      <c r="A92" t="s">
        <v>297</v>
      </c>
      <c r="B92" t="s">
        <v>298</v>
      </c>
      <c r="C92" t="s">
        <v>116</v>
      </c>
      <c r="D92" t="s">
        <v>52</v>
      </c>
      <c r="E92" t="s">
        <v>110</v>
      </c>
      <c r="F92" t="s">
        <v>62</v>
      </c>
      <c r="G92" t="s">
        <v>71</v>
      </c>
      <c r="H92" t="s">
        <v>152</v>
      </c>
      <c r="I92" t="s">
        <v>165</v>
      </c>
      <c r="J92">
        <v>4</v>
      </c>
      <c r="K92">
        <v>34293.379999999997</v>
      </c>
      <c r="L92">
        <v>20</v>
      </c>
      <c r="M92">
        <v>137173.51999999999</v>
      </c>
      <c r="N92">
        <v>109829.11</v>
      </c>
      <c r="O92">
        <v>27344.41</v>
      </c>
      <c r="P92" t="s">
        <v>144</v>
      </c>
      <c r="Q92">
        <v>4.4000000000000004</v>
      </c>
      <c r="R92" t="s">
        <v>159</v>
      </c>
      <c r="S92" t="s">
        <v>107</v>
      </c>
      <c r="T92">
        <v>2024</v>
      </c>
    </row>
    <row r="93" spans="1:20" x14ac:dyDescent="0.3">
      <c r="A93" t="s">
        <v>299</v>
      </c>
      <c r="B93" t="s">
        <v>300</v>
      </c>
      <c r="C93" t="s">
        <v>97</v>
      </c>
      <c r="D93" t="s">
        <v>69</v>
      </c>
      <c r="E93" t="s">
        <v>155</v>
      </c>
      <c r="F93" t="s">
        <v>45</v>
      </c>
      <c r="G93" t="s">
        <v>46</v>
      </c>
      <c r="H93" t="s">
        <v>100</v>
      </c>
      <c r="I93" t="s">
        <v>101</v>
      </c>
      <c r="J93">
        <v>2</v>
      </c>
      <c r="K93">
        <v>19498.32</v>
      </c>
      <c r="L93">
        <v>15</v>
      </c>
      <c r="M93">
        <v>38996.639999999999</v>
      </c>
      <c r="N93">
        <v>26685.94</v>
      </c>
      <c r="O93">
        <v>12310.7</v>
      </c>
      <c r="P93" t="s">
        <v>122</v>
      </c>
      <c r="Q93">
        <v>3.6</v>
      </c>
      <c r="R93" t="s">
        <v>30</v>
      </c>
      <c r="S93" t="s">
        <v>58</v>
      </c>
      <c r="T93">
        <v>2024</v>
      </c>
    </row>
    <row r="94" spans="1:20" x14ac:dyDescent="0.3">
      <c r="A94" t="s">
        <v>301</v>
      </c>
      <c r="B94" t="s">
        <v>68</v>
      </c>
      <c r="C94" t="s">
        <v>116</v>
      </c>
      <c r="D94" t="s">
        <v>35</v>
      </c>
      <c r="E94" t="s">
        <v>36</v>
      </c>
      <c r="F94" t="s">
        <v>37</v>
      </c>
      <c r="G94" t="s">
        <v>38</v>
      </c>
      <c r="H94" t="s">
        <v>140</v>
      </c>
      <c r="I94" t="s">
        <v>40</v>
      </c>
      <c r="J94">
        <v>1</v>
      </c>
      <c r="K94">
        <v>39355.589999999997</v>
      </c>
      <c r="L94">
        <v>5</v>
      </c>
      <c r="M94">
        <v>39355.589999999997</v>
      </c>
      <c r="N94">
        <v>31387.18</v>
      </c>
      <c r="O94">
        <v>7968.41</v>
      </c>
      <c r="P94" t="s">
        <v>73</v>
      </c>
      <c r="Q94">
        <v>2.9</v>
      </c>
      <c r="R94" t="s">
        <v>30</v>
      </c>
      <c r="S94" t="s">
        <v>74</v>
      </c>
      <c r="T94">
        <v>2024</v>
      </c>
    </row>
    <row r="95" spans="1:20" x14ac:dyDescent="0.3">
      <c r="A95" t="s">
        <v>302</v>
      </c>
      <c r="B95" t="s">
        <v>303</v>
      </c>
      <c r="C95" t="s">
        <v>90</v>
      </c>
      <c r="D95" t="s">
        <v>69</v>
      </c>
      <c r="E95" t="s">
        <v>155</v>
      </c>
      <c r="F95" t="s">
        <v>25</v>
      </c>
      <c r="G95" t="s">
        <v>26</v>
      </c>
      <c r="H95" t="s">
        <v>129</v>
      </c>
      <c r="I95" t="s">
        <v>28</v>
      </c>
      <c r="J95">
        <v>2</v>
      </c>
      <c r="K95">
        <v>26575.86</v>
      </c>
      <c r="L95">
        <v>25</v>
      </c>
      <c r="M95">
        <v>53151.72</v>
      </c>
      <c r="N95">
        <v>38374.42</v>
      </c>
      <c r="O95">
        <v>14777.3</v>
      </c>
      <c r="P95" t="s">
        <v>73</v>
      </c>
      <c r="Q95">
        <v>2</v>
      </c>
      <c r="R95" t="s">
        <v>30</v>
      </c>
      <c r="S95" t="s">
        <v>49</v>
      </c>
      <c r="T95">
        <v>2024</v>
      </c>
    </row>
    <row r="96" spans="1:20" x14ac:dyDescent="0.3">
      <c r="A96" t="s">
        <v>304</v>
      </c>
      <c r="B96" t="s">
        <v>305</v>
      </c>
      <c r="C96" t="s">
        <v>97</v>
      </c>
      <c r="D96" t="s">
        <v>52</v>
      </c>
      <c r="E96" t="s">
        <v>53</v>
      </c>
      <c r="F96" t="s">
        <v>54</v>
      </c>
      <c r="G96" t="s">
        <v>91</v>
      </c>
      <c r="H96" t="s">
        <v>91</v>
      </c>
      <c r="I96" t="s">
        <v>57</v>
      </c>
      <c r="J96">
        <v>3</v>
      </c>
      <c r="K96">
        <v>12506.31</v>
      </c>
      <c r="L96">
        <v>5</v>
      </c>
      <c r="M96">
        <v>37518.93</v>
      </c>
      <c r="N96">
        <v>27027.24</v>
      </c>
      <c r="O96">
        <v>10491.69</v>
      </c>
      <c r="P96" t="s">
        <v>41</v>
      </c>
      <c r="Q96">
        <v>1.4</v>
      </c>
      <c r="R96" t="s">
        <v>30</v>
      </c>
      <c r="S96" t="s">
        <v>87</v>
      </c>
      <c r="T96">
        <v>2025</v>
      </c>
    </row>
    <row r="97" spans="1:20" x14ac:dyDescent="0.3">
      <c r="A97" t="s">
        <v>306</v>
      </c>
      <c r="B97" t="s">
        <v>307</v>
      </c>
      <c r="C97" t="s">
        <v>168</v>
      </c>
      <c r="D97" t="s">
        <v>98</v>
      </c>
      <c r="E97" t="s">
        <v>99</v>
      </c>
      <c r="F97" t="s">
        <v>37</v>
      </c>
      <c r="G97" t="s">
        <v>38</v>
      </c>
      <c r="H97" t="s">
        <v>140</v>
      </c>
      <c r="I97" t="s">
        <v>40</v>
      </c>
      <c r="J97">
        <v>3</v>
      </c>
      <c r="K97">
        <v>19180.77</v>
      </c>
      <c r="L97">
        <v>10</v>
      </c>
      <c r="M97">
        <v>57542.31</v>
      </c>
      <c r="N97">
        <v>38679.360000000001</v>
      </c>
      <c r="O97">
        <v>18862.95</v>
      </c>
      <c r="P97" t="s">
        <v>73</v>
      </c>
      <c r="Q97">
        <v>3.9</v>
      </c>
      <c r="R97" t="s">
        <v>30</v>
      </c>
      <c r="S97" t="s">
        <v>87</v>
      </c>
      <c r="T97">
        <v>2025</v>
      </c>
    </row>
    <row r="98" spans="1:20" x14ac:dyDescent="0.3">
      <c r="A98" t="s">
        <v>308</v>
      </c>
      <c r="B98" t="s">
        <v>309</v>
      </c>
      <c r="C98" t="s">
        <v>61</v>
      </c>
      <c r="D98" t="s">
        <v>125</v>
      </c>
      <c r="E98" t="s">
        <v>126</v>
      </c>
      <c r="F98" t="s">
        <v>62</v>
      </c>
      <c r="G98" t="s">
        <v>63</v>
      </c>
      <c r="H98" t="s">
        <v>152</v>
      </c>
      <c r="I98" t="s">
        <v>65</v>
      </c>
      <c r="J98">
        <v>5</v>
      </c>
      <c r="K98">
        <v>8877.51</v>
      </c>
      <c r="L98">
        <v>10</v>
      </c>
      <c r="M98">
        <v>44387.55</v>
      </c>
      <c r="N98">
        <v>30629.45</v>
      </c>
      <c r="O98">
        <v>13758.1</v>
      </c>
      <c r="P98" t="s">
        <v>41</v>
      </c>
      <c r="Q98">
        <v>2.5</v>
      </c>
      <c r="R98" t="s">
        <v>30</v>
      </c>
      <c r="S98" t="s">
        <v>49</v>
      </c>
      <c r="T98">
        <v>2024</v>
      </c>
    </row>
    <row r="99" spans="1:20" x14ac:dyDescent="0.3">
      <c r="A99" t="s">
        <v>310</v>
      </c>
      <c r="B99" t="s">
        <v>311</v>
      </c>
      <c r="C99" t="s">
        <v>136</v>
      </c>
      <c r="D99" t="s">
        <v>125</v>
      </c>
      <c r="E99" t="s">
        <v>139</v>
      </c>
      <c r="F99" t="s">
        <v>37</v>
      </c>
      <c r="G99" t="s">
        <v>38</v>
      </c>
      <c r="H99" t="s">
        <v>77</v>
      </c>
      <c r="I99" t="s">
        <v>40</v>
      </c>
      <c r="J99">
        <v>2</v>
      </c>
      <c r="K99">
        <v>32348.92</v>
      </c>
      <c r="L99">
        <v>30</v>
      </c>
      <c r="M99">
        <v>64697.84</v>
      </c>
      <c r="N99">
        <v>51538.9</v>
      </c>
      <c r="O99">
        <v>13158.94</v>
      </c>
      <c r="P99" t="s">
        <v>122</v>
      </c>
      <c r="Q99">
        <v>3.1</v>
      </c>
      <c r="R99" t="s">
        <v>30</v>
      </c>
      <c r="S99" t="s">
        <v>102</v>
      </c>
      <c r="T99">
        <v>2025</v>
      </c>
    </row>
    <row r="100" spans="1:20" x14ac:dyDescent="0.3">
      <c r="A100" t="s">
        <v>312</v>
      </c>
      <c r="B100" t="s">
        <v>313</v>
      </c>
      <c r="C100" t="s">
        <v>80</v>
      </c>
      <c r="D100" t="s">
        <v>69</v>
      </c>
      <c r="E100" t="s">
        <v>155</v>
      </c>
      <c r="F100" t="s">
        <v>54</v>
      </c>
      <c r="G100" t="s">
        <v>228</v>
      </c>
      <c r="H100" t="s">
        <v>56</v>
      </c>
      <c r="I100" t="s">
        <v>57</v>
      </c>
      <c r="J100">
        <v>2</v>
      </c>
      <c r="K100">
        <v>19375.759999999998</v>
      </c>
      <c r="L100">
        <v>15</v>
      </c>
      <c r="M100">
        <v>38751.519999999997</v>
      </c>
      <c r="N100">
        <v>27153.53</v>
      </c>
      <c r="O100">
        <v>11597.99</v>
      </c>
      <c r="P100" t="s">
        <v>122</v>
      </c>
      <c r="Q100">
        <v>2.1</v>
      </c>
      <c r="R100" t="s">
        <v>30</v>
      </c>
      <c r="S100" t="s">
        <v>42</v>
      </c>
      <c r="T100">
        <v>2024</v>
      </c>
    </row>
    <row r="101" spans="1:20" x14ac:dyDescent="0.3">
      <c r="A101" t="s">
        <v>314</v>
      </c>
      <c r="B101" t="s">
        <v>315</v>
      </c>
      <c r="C101" t="s">
        <v>136</v>
      </c>
      <c r="D101" t="s">
        <v>52</v>
      </c>
      <c r="E101" t="s">
        <v>53</v>
      </c>
      <c r="F101" t="s">
        <v>25</v>
      </c>
      <c r="G101" t="s">
        <v>26</v>
      </c>
      <c r="H101" t="s">
        <v>27</v>
      </c>
      <c r="I101" t="s">
        <v>112</v>
      </c>
      <c r="J101">
        <v>1</v>
      </c>
      <c r="K101">
        <v>48157.93</v>
      </c>
      <c r="L101">
        <v>10</v>
      </c>
      <c r="M101">
        <v>48157.93</v>
      </c>
      <c r="N101">
        <v>38123.65</v>
      </c>
      <c r="O101">
        <v>10034.280000000001</v>
      </c>
      <c r="P101" t="s">
        <v>113</v>
      </c>
      <c r="Q101">
        <v>2.4</v>
      </c>
      <c r="R101" t="s">
        <v>30</v>
      </c>
      <c r="S101" t="s">
        <v>31</v>
      </c>
      <c r="T101">
        <v>2024</v>
      </c>
    </row>
    <row r="102" spans="1:20" x14ac:dyDescent="0.3">
      <c r="A102" t="s">
        <v>316</v>
      </c>
      <c r="B102" t="s">
        <v>85</v>
      </c>
      <c r="C102" t="s">
        <v>200</v>
      </c>
      <c r="D102" t="s">
        <v>23</v>
      </c>
      <c r="E102" t="s">
        <v>24</v>
      </c>
      <c r="F102" t="s">
        <v>54</v>
      </c>
      <c r="G102" t="s">
        <v>55</v>
      </c>
      <c r="H102" t="s">
        <v>179</v>
      </c>
      <c r="I102" t="s">
        <v>93</v>
      </c>
      <c r="J102">
        <v>4</v>
      </c>
      <c r="K102">
        <v>4360.05</v>
      </c>
      <c r="L102">
        <v>5</v>
      </c>
      <c r="M102">
        <v>17440.2</v>
      </c>
      <c r="N102">
        <v>14118.33</v>
      </c>
      <c r="O102">
        <v>3321.87</v>
      </c>
      <c r="P102" t="s">
        <v>73</v>
      </c>
      <c r="Q102">
        <v>3.3</v>
      </c>
      <c r="R102" t="s">
        <v>30</v>
      </c>
      <c r="S102" t="s">
        <v>87</v>
      </c>
      <c r="T102">
        <v>2025</v>
      </c>
    </row>
    <row r="103" spans="1:20" x14ac:dyDescent="0.3">
      <c r="A103" t="s">
        <v>317</v>
      </c>
      <c r="B103" t="s">
        <v>68</v>
      </c>
      <c r="C103" t="s">
        <v>22</v>
      </c>
      <c r="D103" t="s">
        <v>98</v>
      </c>
      <c r="E103" t="s">
        <v>99</v>
      </c>
      <c r="F103" t="s">
        <v>37</v>
      </c>
      <c r="G103" t="s">
        <v>38</v>
      </c>
      <c r="H103" t="s">
        <v>86</v>
      </c>
      <c r="I103" t="s">
        <v>40</v>
      </c>
      <c r="J103">
        <v>1</v>
      </c>
      <c r="K103">
        <v>38093.14</v>
      </c>
      <c r="L103">
        <v>20</v>
      </c>
      <c r="M103">
        <v>38093.14</v>
      </c>
      <c r="N103">
        <v>29788.97</v>
      </c>
      <c r="O103">
        <v>8304.17</v>
      </c>
      <c r="P103" t="s">
        <v>122</v>
      </c>
      <c r="Q103">
        <v>3</v>
      </c>
      <c r="R103" t="s">
        <v>30</v>
      </c>
      <c r="S103" t="s">
        <v>74</v>
      </c>
      <c r="T103">
        <v>2024</v>
      </c>
    </row>
    <row r="104" spans="1:20" x14ac:dyDescent="0.3">
      <c r="A104" t="s">
        <v>318</v>
      </c>
      <c r="B104" t="s">
        <v>319</v>
      </c>
      <c r="C104" t="s">
        <v>168</v>
      </c>
      <c r="D104" t="s">
        <v>23</v>
      </c>
      <c r="E104" t="s">
        <v>24</v>
      </c>
      <c r="F104" t="s">
        <v>25</v>
      </c>
      <c r="G104" t="s">
        <v>26</v>
      </c>
      <c r="H104" t="s">
        <v>27</v>
      </c>
      <c r="I104" t="s">
        <v>112</v>
      </c>
      <c r="J104">
        <v>5</v>
      </c>
      <c r="K104">
        <v>32788.199999999997</v>
      </c>
      <c r="L104">
        <v>20</v>
      </c>
      <c r="M104">
        <v>163941</v>
      </c>
      <c r="N104">
        <v>110480.89</v>
      </c>
      <c r="O104">
        <v>53460.11</v>
      </c>
      <c r="P104" t="s">
        <v>122</v>
      </c>
      <c r="Q104">
        <v>4</v>
      </c>
      <c r="R104" t="s">
        <v>30</v>
      </c>
      <c r="S104" t="s">
        <v>78</v>
      </c>
      <c r="T104">
        <v>2024</v>
      </c>
    </row>
    <row r="105" spans="1:20" x14ac:dyDescent="0.3">
      <c r="A105" t="s">
        <v>320</v>
      </c>
      <c r="B105" t="s">
        <v>321</v>
      </c>
      <c r="C105" t="s">
        <v>200</v>
      </c>
      <c r="D105" t="s">
        <v>125</v>
      </c>
      <c r="E105" t="s">
        <v>126</v>
      </c>
      <c r="F105" t="s">
        <v>25</v>
      </c>
      <c r="G105" t="s">
        <v>111</v>
      </c>
      <c r="H105" t="s">
        <v>121</v>
      </c>
      <c r="I105" t="s">
        <v>28</v>
      </c>
      <c r="J105">
        <v>1</v>
      </c>
      <c r="K105">
        <v>42715.55</v>
      </c>
      <c r="L105">
        <v>20</v>
      </c>
      <c r="M105">
        <v>42715.55</v>
      </c>
      <c r="N105">
        <v>33297.29</v>
      </c>
      <c r="O105">
        <v>9418.26</v>
      </c>
      <c r="P105" t="s">
        <v>122</v>
      </c>
      <c r="Q105">
        <v>4.4000000000000004</v>
      </c>
      <c r="R105" t="s">
        <v>30</v>
      </c>
      <c r="S105" t="s">
        <v>78</v>
      </c>
      <c r="T105">
        <v>2024</v>
      </c>
    </row>
    <row r="106" spans="1:20" x14ac:dyDescent="0.3">
      <c r="A106" t="s">
        <v>322</v>
      </c>
      <c r="B106" t="s">
        <v>323</v>
      </c>
      <c r="C106" t="s">
        <v>61</v>
      </c>
      <c r="D106" t="s">
        <v>23</v>
      </c>
      <c r="E106" t="s">
        <v>24</v>
      </c>
      <c r="F106" t="s">
        <v>45</v>
      </c>
      <c r="G106" t="s">
        <v>105</v>
      </c>
      <c r="H106" t="s">
        <v>100</v>
      </c>
      <c r="I106" t="s">
        <v>101</v>
      </c>
      <c r="J106">
        <v>5</v>
      </c>
      <c r="K106">
        <v>28758.42</v>
      </c>
      <c r="L106">
        <v>15</v>
      </c>
      <c r="M106">
        <v>143792.1</v>
      </c>
      <c r="N106">
        <v>113986.34</v>
      </c>
      <c r="O106">
        <v>29805.759999999998</v>
      </c>
      <c r="P106" t="s">
        <v>144</v>
      </c>
      <c r="Q106">
        <v>3.7</v>
      </c>
      <c r="R106" t="s">
        <v>30</v>
      </c>
      <c r="S106" t="s">
        <v>31</v>
      </c>
      <c r="T106">
        <v>2024</v>
      </c>
    </row>
    <row r="107" spans="1:20" x14ac:dyDescent="0.3">
      <c r="A107" t="s">
        <v>324</v>
      </c>
      <c r="B107" t="s">
        <v>325</v>
      </c>
      <c r="C107" t="s">
        <v>80</v>
      </c>
      <c r="D107" t="s">
        <v>132</v>
      </c>
      <c r="E107" t="s">
        <v>158</v>
      </c>
      <c r="F107" t="s">
        <v>25</v>
      </c>
      <c r="G107" t="s">
        <v>26</v>
      </c>
      <c r="H107" t="s">
        <v>27</v>
      </c>
      <c r="I107" t="s">
        <v>112</v>
      </c>
      <c r="J107">
        <v>2</v>
      </c>
      <c r="K107">
        <v>22555.21</v>
      </c>
      <c r="L107">
        <v>25</v>
      </c>
      <c r="M107">
        <v>45110.42</v>
      </c>
      <c r="N107">
        <v>37463.42</v>
      </c>
      <c r="O107">
        <v>7647</v>
      </c>
      <c r="P107" t="s">
        <v>41</v>
      </c>
      <c r="Q107">
        <v>4.3</v>
      </c>
      <c r="R107" t="s">
        <v>30</v>
      </c>
      <c r="S107" t="s">
        <v>49</v>
      </c>
      <c r="T107">
        <v>2024</v>
      </c>
    </row>
    <row r="108" spans="1:20" x14ac:dyDescent="0.3">
      <c r="A108" t="s">
        <v>326</v>
      </c>
      <c r="B108" t="s">
        <v>161</v>
      </c>
      <c r="C108" t="s">
        <v>22</v>
      </c>
      <c r="D108" t="s">
        <v>52</v>
      </c>
      <c r="E108" t="s">
        <v>110</v>
      </c>
      <c r="F108" t="s">
        <v>37</v>
      </c>
      <c r="G108" t="s">
        <v>38</v>
      </c>
      <c r="H108" t="s">
        <v>327</v>
      </c>
      <c r="I108" t="s">
        <v>40</v>
      </c>
      <c r="J108">
        <v>1</v>
      </c>
      <c r="K108">
        <v>33613.18</v>
      </c>
      <c r="L108">
        <v>15</v>
      </c>
      <c r="M108">
        <v>33613.18</v>
      </c>
      <c r="N108">
        <v>27637.69</v>
      </c>
      <c r="O108">
        <v>5975.49</v>
      </c>
      <c r="P108" t="s">
        <v>73</v>
      </c>
      <c r="Q108">
        <v>3.5</v>
      </c>
      <c r="R108" t="s">
        <v>30</v>
      </c>
      <c r="S108" t="s">
        <v>162</v>
      </c>
      <c r="T108">
        <v>2024</v>
      </c>
    </row>
    <row r="109" spans="1:20" x14ac:dyDescent="0.3">
      <c r="A109" t="s">
        <v>328</v>
      </c>
      <c r="B109" t="s">
        <v>329</v>
      </c>
      <c r="C109" t="s">
        <v>22</v>
      </c>
      <c r="D109" t="s">
        <v>81</v>
      </c>
      <c r="E109" t="s">
        <v>149</v>
      </c>
      <c r="F109" t="s">
        <v>37</v>
      </c>
      <c r="G109" t="s">
        <v>38</v>
      </c>
      <c r="H109" t="s">
        <v>140</v>
      </c>
      <c r="I109" t="s">
        <v>40</v>
      </c>
      <c r="J109">
        <v>5</v>
      </c>
      <c r="K109">
        <v>44639</v>
      </c>
      <c r="L109">
        <v>10</v>
      </c>
      <c r="M109">
        <v>223195</v>
      </c>
      <c r="N109">
        <v>153617.60000000001</v>
      </c>
      <c r="O109">
        <v>69577.399999999994</v>
      </c>
      <c r="P109" t="s">
        <v>122</v>
      </c>
      <c r="Q109">
        <v>1.1000000000000001</v>
      </c>
      <c r="R109" t="s">
        <v>30</v>
      </c>
      <c r="S109" t="s">
        <v>49</v>
      </c>
      <c r="T109">
        <v>2024</v>
      </c>
    </row>
    <row r="110" spans="1:20" x14ac:dyDescent="0.3">
      <c r="A110" t="s">
        <v>330</v>
      </c>
      <c r="B110" t="s">
        <v>331</v>
      </c>
      <c r="C110" t="s">
        <v>90</v>
      </c>
      <c r="D110" t="s">
        <v>125</v>
      </c>
      <c r="E110" t="s">
        <v>126</v>
      </c>
      <c r="F110" t="s">
        <v>37</v>
      </c>
      <c r="G110" t="s">
        <v>38</v>
      </c>
      <c r="H110" t="s">
        <v>39</v>
      </c>
      <c r="I110" t="s">
        <v>40</v>
      </c>
      <c r="J110">
        <v>5</v>
      </c>
      <c r="K110">
        <v>11785.4</v>
      </c>
      <c r="L110">
        <v>20</v>
      </c>
      <c r="M110">
        <v>58927</v>
      </c>
      <c r="N110">
        <v>46068.55</v>
      </c>
      <c r="O110">
        <v>12858.45</v>
      </c>
      <c r="P110" t="s">
        <v>73</v>
      </c>
      <c r="Q110">
        <v>1.6</v>
      </c>
      <c r="R110" t="s">
        <v>30</v>
      </c>
      <c r="S110" t="s">
        <v>119</v>
      </c>
      <c r="T110">
        <v>2024</v>
      </c>
    </row>
    <row r="111" spans="1:20" x14ac:dyDescent="0.3">
      <c r="A111" t="s">
        <v>332</v>
      </c>
      <c r="B111" t="s">
        <v>333</v>
      </c>
      <c r="C111" t="s">
        <v>22</v>
      </c>
      <c r="D111" t="s">
        <v>132</v>
      </c>
      <c r="E111" t="s">
        <v>133</v>
      </c>
      <c r="F111" t="s">
        <v>25</v>
      </c>
      <c r="G111" t="s">
        <v>111</v>
      </c>
      <c r="H111" t="s">
        <v>235</v>
      </c>
      <c r="I111" t="s">
        <v>28</v>
      </c>
      <c r="J111">
        <v>1</v>
      </c>
      <c r="K111">
        <v>30826.720000000001</v>
      </c>
      <c r="L111">
        <v>5</v>
      </c>
      <c r="M111">
        <v>30826.720000000001</v>
      </c>
      <c r="N111">
        <v>21089.31</v>
      </c>
      <c r="O111">
        <v>9737.41</v>
      </c>
      <c r="P111" t="s">
        <v>41</v>
      </c>
      <c r="Q111">
        <v>3.9</v>
      </c>
      <c r="R111" t="s">
        <v>30</v>
      </c>
      <c r="S111" t="s">
        <v>162</v>
      </c>
      <c r="T111">
        <v>2024</v>
      </c>
    </row>
    <row r="112" spans="1:20" x14ac:dyDescent="0.3">
      <c r="A112" t="s">
        <v>334</v>
      </c>
      <c r="B112" t="s">
        <v>335</v>
      </c>
      <c r="C112" t="s">
        <v>97</v>
      </c>
      <c r="D112" t="s">
        <v>81</v>
      </c>
      <c r="E112" t="s">
        <v>149</v>
      </c>
      <c r="F112" t="s">
        <v>37</v>
      </c>
      <c r="G112" t="s">
        <v>38</v>
      </c>
      <c r="H112" t="s">
        <v>86</v>
      </c>
      <c r="I112" t="s">
        <v>40</v>
      </c>
      <c r="J112">
        <v>4</v>
      </c>
      <c r="K112">
        <v>35811.1</v>
      </c>
      <c r="L112">
        <v>5</v>
      </c>
      <c r="M112">
        <v>143244.4</v>
      </c>
      <c r="N112">
        <v>119453.8</v>
      </c>
      <c r="O112">
        <v>23790.6</v>
      </c>
      <c r="P112" t="s">
        <v>144</v>
      </c>
      <c r="Q112">
        <v>1.9</v>
      </c>
      <c r="R112" t="s">
        <v>30</v>
      </c>
      <c r="S112" t="s">
        <v>31</v>
      </c>
      <c r="T112">
        <v>2024</v>
      </c>
    </row>
    <row r="113" spans="1:20" x14ac:dyDescent="0.3">
      <c r="A113" t="s">
        <v>336</v>
      </c>
      <c r="B113" t="s">
        <v>337</v>
      </c>
      <c r="C113" t="s">
        <v>61</v>
      </c>
      <c r="D113" t="s">
        <v>98</v>
      </c>
      <c r="E113" t="s">
        <v>99</v>
      </c>
      <c r="F113" t="s">
        <v>45</v>
      </c>
      <c r="G113" t="s">
        <v>105</v>
      </c>
      <c r="H113" t="s">
        <v>188</v>
      </c>
      <c r="I113" t="s">
        <v>48</v>
      </c>
      <c r="J113">
        <v>3</v>
      </c>
      <c r="K113">
        <v>45387.99</v>
      </c>
      <c r="L113">
        <v>20</v>
      </c>
      <c r="M113">
        <v>136163.97</v>
      </c>
      <c r="N113">
        <v>90451.17</v>
      </c>
      <c r="O113">
        <v>45712.800000000003</v>
      </c>
      <c r="P113" t="s">
        <v>113</v>
      </c>
      <c r="Q113">
        <v>4.8</v>
      </c>
      <c r="R113" t="s">
        <v>30</v>
      </c>
      <c r="S113" t="s">
        <v>42</v>
      </c>
      <c r="T113">
        <v>2024</v>
      </c>
    </row>
    <row r="114" spans="1:20" x14ac:dyDescent="0.3">
      <c r="A114" t="s">
        <v>338</v>
      </c>
      <c r="B114" t="s">
        <v>171</v>
      </c>
      <c r="C114" t="s">
        <v>116</v>
      </c>
      <c r="D114" t="s">
        <v>81</v>
      </c>
      <c r="E114" t="s">
        <v>128</v>
      </c>
      <c r="F114" t="s">
        <v>62</v>
      </c>
      <c r="G114" t="s">
        <v>63</v>
      </c>
      <c r="H114" t="s">
        <v>271</v>
      </c>
      <c r="I114" t="s">
        <v>65</v>
      </c>
      <c r="J114">
        <v>5</v>
      </c>
      <c r="K114">
        <v>39263.94</v>
      </c>
      <c r="L114">
        <v>25</v>
      </c>
      <c r="M114">
        <v>196319.7</v>
      </c>
      <c r="N114">
        <v>159503.07</v>
      </c>
      <c r="O114">
        <v>36816.629999999997</v>
      </c>
      <c r="P114" t="s">
        <v>73</v>
      </c>
      <c r="Q114">
        <v>3.8</v>
      </c>
      <c r="R114" t="s">
        <v>159</v>
      </c>
      <c r="S114" t="s">
        <v>162</v>
      </c>
      <c r="T114">
        <v>2024</v>
      </c>
    </row>
    <row r="115" spans="1:20" x14ac:dyDescent="0.3">
      <c r="A115" t="s">
        <v>339</v>
      </c>
      <c r="B115" t="s">
        <v>340</v>
      </c>
      <c r="C115" t="s">
        <v>22</v>
      </c>
      <c r="D115" t="s">
        <v>35</v>
      </c>
      <c r="E115" t="s">
        <v>36</v>
      </c>
      <c r="F115" t="s">
        <v>25</v>
      </c>
      <c r="G115" t="s">
        <v>26</v>
      </c>
      <c r="H115" t="s">
        <v>27</v>
      </c>
      <c r="I115" t="s">
        <v>28</v>
      </c>
      <c r="J115">
        <v>1</v>
      </c>
      <c r="K115">
        <v>19787.61</v>
      </c>
      <c r="L115">
        <v>5</v>
      </c>
      <c r="M115">
        <v>19787.61</v>
      </c>
      <c r="N115">
        <v>13080.92</v>
      </c>
      <c r="O115">
        <v>6706.69</v>
      </c>
      <c r="P115" t="s">
        <v>29</v>
      </c>
      <c r="Q115">
        <v>3.9</v>
      </c>
      <c r="R115" t="s">
        <v>30</v>
      </c>
      <c r="S115" t="s">
        <v>74</v>
      </c>
      <c r="T115">
        <v>2024</v>
      </c>
    </row>
    <row r="116" spans="1:20" x14ac:dyDescent="0.3">
      <c r="A116" t="s">
        <v>341</v>
      </c>
      <c r="B116" t="s">
        <v>89</v>
      </c>
      <c r="C116" t="s">
        <v>34</v>
      </c>
      <c r="D116" t="s">
        <v>125</v>
      </c>
      <c r="E116" t="s">
        <v>139</v>
      </c>
      <c r="F116" t="s">
        <v>37</v>
      </c>
      <c r="G116" t="s">
        <v>38</v>
      </c>
      <c r="H116" t="s">
        <v>86</v>
      </c>
      <c r="I116" t="s">
        <v>40</v>
      </c>
      <c r="J116">
        <v>4</v>
      </c>
      <c r="K116">
        <v>26219.99</v>
      </c>
      <c r="L116">
        <v>25</v>
      </c>
      <c r="M116">
        <v>104879.96</v>
      </c>
      <c r="N116">
        <v>76224.23</v>
      </c>
      <c r="O116">
        <v>28655.73</v>
      </c>
      <c r="P116" t="s">
        <v>29</v>
      </c>
      <c r="Q116">
        <v>2.1</v>
      </c>
      <c r="R116" t="s">
        <v>30</v>
      </c>
      <c r="S116" t="s">
        <v>94</v>
      </c>
      <c r="T116">
        <v>2024</v>
      </c>
    </row>
    <row r="117" spans="1:20" x14ac:dyDescent="0.3">
      <c r="A117" t="s">
        <v>342</v>
      </c>
      <c r="B117" t="s">
        <v>343</v>
      </c>
      <c r="C117" t="s">
        <v>136</v>
      </c>
      <c r="D117" t="s">
        <v>132</v>
      </c>
      <c r="E117" t="s">
        <v>158</v>
      </c>
      <c r="F117" t="s">
        <v>45</v>
      </c>
      <c r="G117" t="s">
        <v>46</v>
      </c>
      <c r="H117" t="s">
        <v>106</v>
      </c>
      <c r="I117" t="s">
        <v>169</v>
      </c>
      <c r="J117">
        <v>4</v>
      </c>
      <c r="K117">
        <v>14286.02</v>
      </c>
      <c r="L117">
        <v>20</v>
      </c>
      <c r="M117">
        <v>57144.08</v>
      </c>
      <c r="N117">
        <v>46857.85</v>
      </c>
      <c r="O117">
        <v>10286.23</v>
      </c>
      <c r="P117" t="s">
        <v>41</v>
      </c>
      <c r="Q117">
        <v>3.7</v>
      </c>
      <c r="R117" t="s">
        <v>30</v>
      </c>
      <c r="S117" t="s">
        <v>49</v>
      </c>
      <c r="T117">
        <v>2024</v>
      </c>
    </row>
    <row r="118" spans="1:20" x14ac:dyDescent="0.3">
      <c r="A118" t="s">
        <v>344</v>
      </c>
      <c r="B118" t="s">
        <v>311</v>
      </c>
      <c r="C118" t="s">
        <v>136</v>
      </c>
      <c r="D118" t="s">
        <v>23</v>
      </c>
      <c r="E118" t="s">
        <v>24</v>
      </c>
      <c r="F118" t="s">
        <v>37</v>
      </c>
      <c r="G118" t="s">
        <v>38</v>
      </c>
      <c r="H118" t="s">
        <v>140</v>
      </c>
      <c r="I118" t="s">
        <v>40</v>
      </c>
      <c r="J118">
        <v>3</v>
      </c>
      <c r="K118">
        <v>13019.07</v>
      </c>
      <c r="L118">
        <v>20</v>
      </c>
      <c r="M118">
        <v>39057.21</v>
      </c>
      <c r="N118">
        <v>28304.080000000002</v>
      </c>
      <c r="O118">
        <v>10753.13</v>
      </c>
      <c r="P118" t="s">
        <v>122</v>
      </c>
      <c r="Q118">
        <v>2.8</v>
      </c>
      <c r="R118" t="s">
        <v>30</v>
      </c>
      <c r="S118" t="s">
        <v>102</v>
      </c>
      <c r="T118">
        <v>2025</v>
      </c>
    </row>
    <row r="119" spans="1:20" x14ac:dyDescent="0.3">
      <c r="A119" t="s">
        <v>345</v>
      </c>
      <c r="B119" t="s">
        <v>346</v>
      </c>
      <c r="C119" t="s">
        <v>200</v>
      </c>
      <c r="D119" t="s">
        <v>98</v>
      </c>
      <c r="E119" t="s">
        <v>99</v>
      </c>
      <c r="F119" t="s">
        <v>45</v>
      </c>
      <c r="G119" t="s">
        <v>105</v>
      </c>
      <c r="H119" t="s">
        <v>47</v>
      </c>
      <c r="I119" t="s">
        <v>101</v>
      </c>
      <c r="J119">
        <v>3</v>
      </c>
      <c r="K119">
        <v>43488.42</v>
      </c>
      <c r="L119">
        <v>5</v>
      </c>
      <c r="M119">
        <v>130465.26</v>
      </c>
      <c r="N119">
        <v>107004.37</v>
      </c>
      <c r="O119">
        <v>23460.89</v>
      </c>
      <c r="P119" t="s">
        <v>144</v>
      </c>
      <c r="Q119">
        <v>3</v>
      </c>
      <c r="R119" t="s">
        <v>30</v>
      </c>
      <c r="S119" t="s">
        <v>78</v>
      </c>
      <c r="T119">
        <v>2024</v>
      </c>
    </row>
    <row r="120" spans="1:20" x14ac:dyDescent="0.3">
      <c r="A120" t="s">
        <v>347</v>
      </c>
      <c r="B120" t="s">
        <v>218</v>
      </c>
      <c r="C120" t="s">
        <v>34</v>
      </c>
      <c r="D120" t="s">
        <v>125</v>
      </c>
      <c r="E120" t="s">
        <v>139</v>
      </c>
      <c r="F120" t="s">
        <v>25</v>
      </c>
      <c r="G120" t="s">
        <v>26</v>
      </c>
      <c r="H120" t="s">
        <v>129</v>
      </c>
      <c r="I120" t="s">
        <v>112</v>
      </c>
      <c r="J120">
        <v>4</v>
      </c>
      <c r="K120">
        <v>30903.49</v>
      </c>
      <c r="L120">
        <v>15</v>
      </c>
      <c r="M120">
        <v>123613.96</v>
      </c>
      <c r="N120">
        <v>96203.29</v>
      </c>
      <c r="O120">
        <v>27410.67</v>
      </c>
      <c r="P120" t="s">
        <v>144</v>
      </c>
      <c r="Q120">
        <v>1.7</v>
      </c>
      <c r="R120" t="s">
        <v>30</v>
      </c>
      <c r="S120" t="s">
        <v>31</v>
      </c>
      <c r="T120">
        <v>2024</v>
      </c>
    </row>
    <row r="121" spans="1:20" x14ac:dyDescent="0.3">
      <c r="A121" t="s">
        <v>348</v>
      </c>
      <c r="B121" t="s">
        <v>349</v>
      </c>
      <c r="C121" t="s">
        <v>136</v>
      </c>
      <c r="D121" t="s">
        <v>69</v>
      </c>
      <c r="E121" t="s">
        <v>155</v>
      </c>
      <c r="F121" t="s">
        <v>62</v>
      </c>
      <c r="G121" t="s">
        <v>71</v>
      </c>
      <c r="H121" t="s">
        <v>83</v>
      </c>
      <c r="I121" t="s">
        <v>165</v>
      </c>
      <c r="J121">
        <v>4</v>
      </c>
      <c r="K121">
        <v>37405.46</v>
      </c>
      <c r="L121">
        <v>15</v>
      </c>
      <c r="M121">
        <v>149621.84</v>
      </c>
      <c r="N121">
        <v>114506.86</v>
      </c>
      <c r="O121">
        <v>35114.980000000003</v>
      </c>
      <c r="P121" t="s">
        <v>73</v>
      </c>
      <c r="Q121">
        <v>1.3</v>
      </c>
      <c r="R121" t="s">
        <v>30</v>
      </c>
      <c r="S121" t="s">
        <v>87</v>
      </c>
      <c r="T121">
        <v>2025</v>
      </c>
    </row>
    <row r="122" spans="1:20" x14ac:dyDescent="0.3">
      <c r="A122" t="s">
        <v>350</v>
      </c>
      <c r="B122" t="s">
        <v>44</v>
      </c>
      <c r="C122" t="s">
        <v>61</v>
      </c>
      <c r="D122" t="s">
        <v>35</v>
      </c>
      <c r="E122" t="s">
        <v>36</v>
      </c>
      <c r="F122" t="s">
        <v>54</v>
      </c>
      <c r="G122" t="s">
        <v>201</v>
      </c>
      <c r="H122" t="s">
        <v>92</v>
      </c>
      <c r="I122" t="s">
        <v>118</v>
      </c>
      <c r="J122">
        <v>4</v>
      </c>
      <c r="K122">
        <v>30593.67</v>
      </c>
      <c r="L122">
        <v>30</v>
      </c>
      <c r="M122">
        <v>122374.68</v>
      </c>
      <c r="N122">
        <v>95069.38</v>
      </c>
      <c r="O122">
        <v>27305.3</v>
      </c>
      <c r="P122" t="s">
        <v>113</v>
      </c>
      <c r="Q122">
        <v>1.5</v>
      </c>
      <c r="R122" t="s">
        <v>159</v>
      </c>
      <c r="S122" t="s">
        <v>49</v>
      </c>
      <c r="T122">
        <v>2024</v>
      </c>
    </row>
    <row r="123" spans="1:20" x14ac:dyDescent="0.3">
      <c r="A123" t="s">
        <v>351</v>
      </c>
      <c r="B123" t="s">
        <v>352</v>
      </c>
      <c r="C123" t="s">
        <v>168</v>
      </c>
      <c r="D123" t="s">
        <v>132</v>
      </c>
      <c r="E123" t="s">
        <v>158</v>
      </c>
      <c r="F123" t="s">
        <v>54</v>
      </c>
      <c r="G123" t="s">
        <v>228</v>
      </c>
      <c r="H123" t="s">
        <v>91</v>
      </c>
      <c r="I123" t="s">
        <v>57</v>
      </c>
      <c r="J123">
        <v>3</v>
      </c>
      <c r="K123">
        <v>28688.25</v>
      </c>
      <c r="L123">
        <v>20</v>
      </c>
      <c r="M123">
        <v>86064.75</v>
      </c>
      <c r="N123">
        <v>69591.960000000006</v>
      </c>
      <c r="O123">
        <v>16472.79</v>
      </c>
      <c r="P123" t="s">
        <v>41</v>
      </c>
      <c r="Q123">
        <v>2.4</v>
      </c>
      <c r="R123" t="s">
        <v>30</v>
      </c>
      <c r="S123" t="s">
        <v>49</v>
      </c>
      <c r="T123">
        <v>2024</v>
      </c>
    </row>
    <row r="124" spans="1:20" x14ac:dyDescent="0.3">
      <c r="A124" t="s">
        <v>353</v>
      </c>
      <c r="B124" t="s">
        <v>354</v>
      </c>
      <c r="C124" t="s">
        <v>90</v>
      </c>
      <c r="D124" t="s">
        <v>81</v>
      </c>
      <c r="E124" t="s">
        <v>128</v>
      </c>
      <c r="F124" t="s">
        <v>45</v>
      </c>
      <c r="G124" t="s">
        <v>46</v>
      </c>
      <c r="H124" t="s">
        <v>176</v>
      </c>
      <c r="I124" t="s">
        <v>101</v>
      </c>
      <c r="J124">
        <v>3</v>
      </c>
      <c r="K124">
        <v>12158.96</v>
      </c>
      <c r="L124">
        <v>30</v>
      </c>
      <c r="M124">
        <v>36476.879999999997</v>
      </c>
      <c r="N124">
        <v>23837.37</v>
      </c>
      <c r="O124">
        <v>12639.51</v>
      </c>
      <c r="P124" t="s">
        <v>144</v>
      </c>
      <c r="Q124">
        <v>1.1000000000000001</v>
      </c>
      <c r="R124" t="s">
        <v>30</v>
      </c>
      <c r="S124" t="s">
        <v>94</v>
      </c>
      <c r="T124">
        <v>2024</v>
      </c>
    </row>
    <row r="125" spans="1:20" x14ac:dyDescent="0.3">
      <c r="A125" t="s">
        <v>355</v>
      </c>
      <c r="B125" t="s">
        <v>356</v>
      </c>
      <c r="C125" t="s">
        <v>22</v>
      </c>
      <c r="D125" t="s">
        <v>81</v>
      </c>
      <c r="E125" t="s">
        <v>82</v>
      </c>
      <c r="F125" t="s">
        <v>54</v>
      </c>
      <c r="G125" t="s">
        <v>201</v>
      </c>
      <c r="H125" t="s">
        <v>91</v>
      </c>
      <c r="I125" t="s">
        <v>180</v>
      </c>
      <c r="J125">
        <v>3</v>
      </c>
      <c r="K125">
        <v>24500.05</v>
      </c>
      <c r="L125">
        <v>30</v>
      </c>
      <c r="M125">
        <v>73500.149999999994</v>
      </c>
      <c r="N125">
        <v>62207.53</v>
      </c>
      <c r="O125">
        <v>11292.62</v>
      </c>
      <c r="P125" t="s">
        <v>122</v>
      </c>
      <c r="Q125">
        <v>4.4000000000000004</v>
      </c>
      <c r="R125" t="s">
        <v>30</v>
      </c>
      <c r="S125" t="s">
        <v>107</v>
      </c>
      <c r="T125">
        <v>2024</v>
      </c>
    </row>
    <row r="126" spans="1:20" x14ac:dyDescent="0.3">
      <c r="A126" t="s">
        <v>357</v>
      </c>
      <c r="B126" t="s">
        <v>358</v>
      </c>
      <c r="C126" t="s">
        <v>34</v>
      </c>
      <c r="D126" t="s">
        <v>81</v>
      </c>
      <c r="E126" t="s">
        <v>128</v>
      </c>
      <c r="F126" t="s">
        <v>62</v>
      </c>
      <c r="G126" t="s">
        <v>71</v>
      </c>
      <c r="H126" t="s">
        <v>83</v>
      </c>
      <c r="I126" t="s">
        <v>143</v>
      </c>
      <c r="J126">
        <v>3</v>
      </c>
      <c r="K126">
        <v>44412.88</v>
      </c>
      <c r="L126">
        <v>30</v>
      </c>
      <c r="M126">
        <v>133238.64000000001</v>
      </c>
      <c r="N126">
        <v>109641.91</v>
      </c>
      <c r="O126">
        <v>23596.73</v>
      </c>
      <c r="P126" t="s">
        <v>113</v>
      </c>
      <c r="Q126">
        <v>1.4</v>
      </c>
      <c r="R126" t="s">
        <v>30</v>
      </c>
      <c r="S126" t="s">
        <v>31</v>
      </c>
      <c r="T126">
        <v>2024</v>
      </c>
    </row>
    <row r="127" spans="1:20" x14ac:dyDescent="0.3">
      <c r="A127" t="s">
        <v>359</v>
      </c>
      <c r="B127" t="s">
        <v>360</v>
      </c>
      <c r="C127" t="s">
        <v>97</v>
      </c>
      <c r="D127" t="s">
        <v>35</v>
      </c>
      <c r="E127" t="s">
        <v>36</v>
      </c>
      <c r="F127" t="s">
        <v>54</v>
      </c>
      <c r="G127" t="s">
        <v>228</v>
      </c>
      <c r="H127" t="s">
        <v>117</v>
      </c>
      <c r="I127" t="s">
        <v>57</v>
      </c>
      <c r="J127">
        <v>3</v>
      </c>
      <c r="K127">
        <v>26615.97</v>
      </c>
      <c r="L127">
        <v>15</v>
      </c>
      <c r="M127">
        <v>79847.91</v>
      </c>
      <c r="N127">
        <v>65643.25</v>
      </c>
      <c r="O127">
        <v>14204.66</v>
      </c>
      <c r="P127" t="s">
        <v>144</v>
      </c>
      <c r="Q127">
        <v>3.6</v>
      </c>
      <c r="R127" t="s">
        <v>30</v>
      </c>
      <c r="S127" t="s">
        <v>162</v>
      </c>
      <c r="T127">
        <v>2024</v>
      </c>
    </row>
    <row r="128" spans="1:20" x14ac:dyDescent="0.3">
      <c r="A128" t="s">
        <v>361</v>
      </c>
      <c r="B128" t="s">
        <v>362</v>
      </c>
      <c r="C128" t="s">
        <v>80</v>
      </c>
      <c r="D128" t="s">
        <v>98</v>
      </c>
      <c r="E128" t="s">
        <v>99</v>
      </c>
      <c r="F128" t="s">
        <v>37</v>
      </c>
      <c r="G128" t="s">
        <v>38</v>
      </c>
      <c r="H128" t="s">
        <v>86</v>
      </c>
      <c r="I128" t="s">
        <v>40</v>
      </c>
      <c r="J128">
        <v>1</v>
      </c>
      <c r="K128">
        <v>3979.4</v>
      </c>
      <c r="L128">
        <v>25</v>
      </c>
      <c r="M128">
        <v>3979.4</v>
      </c>
      <c r="N128">
        <v>3377.9</v>
      </c>
      <c r="O128">
        <v>601.5</v>
      </c>
      <c r="P128" t="s">
        <v>29</v>
      </c>
      <c r="Q128">
        <v>4.5999999999999996</v>
      </c>
      <c r="R128" t="s">
        <v>159</v>
      </c>
      <c r="S128" t="s">
        <v>74</v>
      </c>
      <c r="T128">
        <v>2024</v>
      </c>
    </row>
    <row r="129" spans="1:20" x14ac:dyDescent="0.3">
      <c r="A129" t="s">
        <v>363</v>
      </c>
      <c r="B129" t="s">
        <v>364</v>
      </c>
      <c r="C129" t="s">
        <v>34</v>
      </c>
      <c r="D129" t="s">
        <v>69</v>
      </c>
      <c r="E129" t="s">
        <v>70</v>
      </c>
      <c r="F129" t="s">
        <v>45</v>
      </c>
      <c r="G129" t="s">
        <v>105</v>
      </c>
      <c r="H129" t="s">
        <v>100</v>
      </c>
      <c r="I129" t="s">
        <v>48</v>
      </c>
      <c r="J129">
        <v>2</v>
      </c>
      <c r="K129">
        <v>49687.49</v>
      </c>
      <c r="L129">
        <v>20</v>
      </c>
      <c r="M129">
        <v>99374.98</v>
      </c>
      <c r="N129">
        <v>80319.710000000006</v>
      </c>
      <c r="O129">
        <v>19055.27</v>
      </c>
      <c r="P129" t="s">
        <v>41</v>
      </c>
      <c r="Q129">
        <v>2.5</v>
      </c>
      <c r="R129" t="s">
        <v>30</v>
      </c>
      <c r="S129" t="s">
        <v>49</v>
      </c>
      <c r="T129">
        <v>2024</v>
      </c>
    </row>
    <row r="130" spans="1:20" x14ac:dyDescent="0.3">
      <c r="A130" t="s">
        <v>365</v>
      </c>
      <c r="B130" t="s">
        <v>366</v>
      </c>
      <c r="C130" t="s">
        <v>200</v>
      </c>
      <c r="D130" t="s">
        <v>23</v>
      </c>
      <c r="E130" t="s">
        <v>24</v>
      </c>
      <c r="F130" t="s">
        <v>54</v>
      </c>
      <c r="G130" t="s">
        <v>228</v>
      </c>
      <c r="H130" t="s">
        <v>179</v>
      </c>
      <c r="I130" t="s">
        <v>57</v>
      </c>
      <c r="J130">
        <v>3</v>
      </c>
      <c r="K130">
        <v>11289.42</v>
      </c>
      <c r="L130">
        <v>25</v>
      </c>
      <c r="M130">
        <v>33868.26</v>
      </c>
      <c r="N130">
        <v>27510</v>
      </c>
      <c r="O130">
        <v>6358.26</v>
      </c>
      <c r="P130" t="s">
        <v>41</v>
      </c>
      <c r="Q130">
        <v>2.2999999999999998</v>
      </c>
      <c r="R130" t="s">
        <v>30</v>
      </c>
      <c r="S130" t="s">
        <v>162</v>
      </c>
      <c r="T130">
        <v>2024</v>
      </c>
    </row>
    <row r="131" spans="1:20" x14ac:dyDescent="0.3">
      <c r="A131" t="s">
        <v>367</v>
      </c>
      <c r="B131" t="s">
        <v>368</v>
      </c>
      <c r="C131" t="s">
        <v>97</v>
      </c>
      <c r="D131" t="s">
        <v>35</v>
      </c>
      <c r="E131" t="s">
        <v>36</v>
      </c>
      <c r="F131" t="s">
        <v>37</v>
      </c>
      <c r="G131" t="s">
        <v>38</v>
      </c>
      <c r="H131" t="s">
        <v>327</v>
      </c>
      <c r="I131" t="s">
        <v>40</v>
      </c>
      <c r="J131">
        <v>3</v>
      </c>
      <c r="K131">
        <v>27309.73</v>
      </c>
      <c r="L131">
        <v>10</v>
      </c>
      <c r="M131">
        <v>81929.19</v>
      </c>
      <c r="N131">
        <v>66232.100000000006</v>
      </c>
      <c r="O131">
        <v>15697.09</v>
      </c>
      <c r="P131" t="s">
        <v>144</v>
      </c>
      <c r="Q131">
        <v>4</v>
      </c>
      <c r="R131" t="s">
        <v>30</v>
      </c>
      <c r="S131" t="s">
        <v>119</v>
      </c>
      <c r="T131">
        <v>2024</v>
      </c>
    </row>
    <row r="132" spans="1:20" x14ac:dyDescent="0.3">
      <c r="A132" t="s">
        <v>369</v>
      </c>
      <c r="B132" t="s">
        <v>370</v>
      </c>
      <c r="C132" t="s">
        <v>22</v>
      </c>
      <c r="D132" t="s">
        <v>125</v>
      </c>
      <c r="E132" t="s">
        <v>126</v>
      </c>
      <c r="F132" t="s">
        <v>54</v>
      </c>
      <c r="G132" t="s">
        <v>201</v>
      </c>
      <c r="H132" t="s">
        <v>179</v>
      </c>
      <c r="I132" t="s">
        <v>180</v>
      </c>
      <c r="J132">
        <v>5</v>
      </c>
      <c r="K132">
        <v>30374.400000000001</v>
      </c>
      <c r="L132">
        <v>5</v>
      </c>
      <c r="M132">
        <v>151872</v>
      </c>
      <c r="N132">
        <v>108375.58</v>
      </c>
      <c r="O132">
        <v>43496.42</v>
      </c>
      <c r="P132" t="s">
        <v>144</v>
      </c>
      <c r="Q132">
        <v>1.8</v>
      </c>
      <c r="R132" t="s">
        <v>30</v>
      </c>
      <c r="S132" t="s">
        <v>87</v>
      </c>
      <c r="T132">
        <v>2025</v>
      </c>
    </row>
    <row r="133" spans="1:20" x14ac:dyDescent="0.3">
      <c r="A133" t="s">
        <v>371</v>
      </c>
      <c r="B133" t="s">
        <v>372</v>
      </c>
      <c r="C133" t="s">
        <v>90</v>
      </c>
      <c r="D133" t="s">
        <v>98</v>
      </c>
      <c r="E133" t="s">
        <v>99</v>
      </c>
      <c r="F133" t="s">
        <v>45</v>
      </c>
      <c r="G133" t="s">
        <v>105</v>
      </c>
      <c r="H133" t="s">
        <v>188</v>
      </c>
      <c r="I133" t="s">
        <v>48</v>
      </c>
      <c r="J133">
        <v>4</v>
      </c>
      <c r="K133">
        <v>15486.41</v>
      </c>
      <c r="L133">
        <v>5</v>
      </c>
      <c r="M133">
        <v>61945.64</v>
      </c>
      <c r="N133">
        <v>42039.519999999997</v>
      </c>
      <c r="O133">
        <v>19906.12</v>
      </c>
      <c r="P133" t="s">
        <v>113</v>
      </c>
      <c r="Q133">
        <v>5</v>
      </c>
      <c r="R133" t="s">
        <v>30</v>
      </c>
      <c r="S133" t="s">
        <v>107</v>
      </c>
      <c r="T133">
        <v>2024</v>
      </c>
    </row>
    <row r="134" spans="1:20" x14ac:dyDescent="0.3">
      <c r="A134" t="s">
        <v>373</v>
      </c>
      <c r="B134" t="s">
        <v>366</v>
      </c>
      <c r="C134" t="s">
        <v>22</v>
      </c>
      <c r="D134" t="s">
        <v>69</v>
      </c>
      <c r="E134" t="s">
        <v>155</v>
      </c>
      <c r="F134" t="s">
        <v>54</v>
      </c>
      <c r="G134" t="s">
        <v>55</v>
      </c>
      <c r="H134" t="s">
        <v>56</v>
      </c>
      <c r="I134" t="s">
        <v>57</v>
      </c>
      <c r="J134">
        <v>1</v>
      </c>
      <c r="K134">
        <v>33698.339999999997</v>
      </c>
      <c r="L134">
        <v>30</v>
      </c>
      <c r="M134">
        <v>33698.339999999997</v>
      </c>
      <c r="N134">
        <v>25336.33</v>
      </c>
      <c r="O134">
        <v>8362.01</v>
      </c>
      <c r="P134" t="s">
        <v>29</v>
      </c>
      <c r="Q134">
        <v>4.2</v>
      </c>
      <c r="R134" t="s">
        <v>30</v>
      </c>
      <c r="S134" t="s">
        <v>162</v>
      </c>
      <c r="T134">
        <v>2024</v>
      </c>
    </row>
    <row r="135" spans="1:20" x14ac:dyDescent="0.3">
      <c r="A135" t="s">
        <v>374</v>
      </c>
      <c r="B135" t="s">
        <v>124</v>
      </c>
      <c r="C135" t="s">
        <v>22</v>
      </c>
      <c r="D135" t="s">
        <v>35</v>
      </c>
      <c r="E135" t="s">
        <v>36</v>
      </c>
      <c r="F135" t="s">
        <v>37</v>
      </c>
      <c r="G135" t="s">
        <v>38</v>
      </c>
      <c r="H135" t="s">
        <v>327</v>
      </c>
      <c r="I135" t="s">
        <v>40</v>
      </c>
      <c r="J135">
        <v>5</v>
      </c>
      <c r="K135">
        <v>42987.64</v>
      </c>
      <c r="L135">
        <v>15</v>
      </c>
      <c r="M135">
        <v>214938.2</v>
      </c>
      <c r="N135">
        <v>176903.2</v>
      </c>
      <c r="O135">
        <v>38035</v>
      </c>
      <c r="P135" t="s">
        <v>73</v>
      </c>
      <c r="Q135">
        <v>3.7</v>
      </c>
      <c r="R135" t="s">
        <v>30</v>
      </c>
      <c r="S135" t="s">
        <v>94</v>
      </c>
      <c r="T135">
        <v>2024</v>
      </c>
    </row>
    <row r="136" spans="1:20" x14ac:dyDescent="0.3">
      <c r="A136" t="s">
        <v>375</v>
      </c>
      <c r="B136" t="s">
        <v>214</v>
      </c>
      <c r="C136" t="s">
        <v>136</v>
      </c>
      <c r="D136" t="s">
        <v>125</v>
      </c>
      <c r="E136" t="s">
        <v>139</v>
      </c>
      <c r="F136" t="s">
        <v>54</v>
      </c>
      <c r="G136" t="s">
        <v>55</v>
      </c>
      <c r="H136" t="s">
        <v>56</v>
      </c>
      <c r="I136" t="s">
        <v>180</v>
      </c>
      <c r="J136">
        <v>5</v>
      </c>
      <c r="K136">
        <v>1104.25</v>
      </c>
      <c r="L136">
        <v>15</v>
      </c>
      <c r="M136">
        <v>5521.25</v>
      </c>
      <c r="N136">
        <v>4531.4799999999996</v>
      </c>
      <c r="O136">
        <v>989.77</v>
      </c>
      <c r="P136" t="s">
        <v>41</v>
      </c>
      <c r="Q136">
        <v>3.8</v>
      </c>
      <c r="R136" t="s">
        <v>30</v>
      </c>
      <c r="S136" t="s">
        <v>58</v>
      </c>
      <c r="T136">
        <v>2024</v>
      </c>
    </row>
    <row r="137" spans="1:20" x14ac:dyDescent="0.3">
      <c r="A137" t="s">
        <v>376</v>
      </c>
      <c r="B137" t="s">
        <v>377</v>
      </c>
      <c r="C137" t="s">
        <v>80</v>
      </c>
      <c r="D137" t="s">
        <v>98</v>
      </c>
      <c r="E137" t="s">
        <v>99</v>
      </c>
      <c r="F137" t="s">
        <v>37</v>
      </c>
      <c r="G137" t="s">
        <v>38</v>
      </c>
      <c r="H137" t="s">
        <v>86</v>
      </c>
      <c r="I137" t="s">
        <v>40</v>
      </c>
      <c r="J137">
        <v>4</v>
      </c>
      <c r="K137">
        <v>14043.16</v>
      </c>
      <c r="L137">
        <v>10</v>
      </c>
      <c r="M137">
        <v>56172.639999999999</v>
      </c>
      <c r="N137">
        <v>44372.81</v>
      </c>
      <c r="O137">
        <v>11799.83</v>
      </c>
      <c r="P137" t="s">
        <v>73</v>
      </c>
      <c r="Q137">
        <v>3.1</v>
      </c>
      <c r="R137" t="s">
        <v>30</v>
      </c>
      <c r="S137" t="s">
        <v>119</v>
      </c>
      <c r="T137">
        <v>2024</v>
      </c>
    </row>
    <row r="138" spans="1:20" x14ac:dyDescent="0.3">
      <c r="A138" t="s">
        <v>378</v>
      </c>
      <c r="B138" t="s">
        <v>379</v>
      </c>
      <c r="C138" t="s">
        <v>90</v>
      </c>
      <c r="D138" t="s">
        <v>35</v>
      </c>
      <c r="E138" t="s">
        <v>36</v>
      </c>
      <c r="F138" t="s">
        <v>25</v>
      </c>
      <c r="G138" t="s">
        <v>111</v>
      </c>
      <c r="H138" t="s">
        <v>129</v>
      </c>
      <c r="I138" t="s">
        <v>112</v>
      </c>
      <c r="J138">
        <v>1</v>
      </c>
      <c r="K138">
        <v>24032.880000000001</v>
      </c>
      <c r="L138">
        <v>10</v>
      </c>
      <c r="M138">
        <v>24032.880000000001</v>
      </c>
      <c r="N138">
        <v>15952.34</v>
      </c>
      <c r="O138">
        <v>8080.54</v>
      </c>
      <c r="P138" t="s">
        <v>73</v>
      </c>
      <c r="Q138">
        <v>3.8</v>
      </c>
      <c r="R138" t="s">
        <v>30</v>
      </c>
      <c r="S138" t="s">
        <v>74</v>
      </c>
      <c r="T138">
        <v>2024</v>
      </c>
    </row>
    <row r="139" spans="1:20" x14ac:dyDescent="0.3">
      <c r="A139" t="s">
        <v>380</v>
      </c>
      <c r="B139" t="s">
        <v>246</v>
      </c>
      <c r="C139" t="s">
        <v>168</v>
      </c>
      <c r="D139" t="s">
        <v>52</v>
      </c>
      <c r="E139" t="s">
        <v>110</v>
      </c>
      <c r="F139" t="s">
        <v>45</v>
      </c>
      <c r="G139" t="s">
        <v>46</v>
      </c>
      <c r="H139" t="s">
        <v>47</v>
      </c>
      <c r="I139" t="s">
        <v>169</v>
      </c>
      <c r="J139">
        <v>3</v>
      </c>
      <c r="K139">
        <v>32283.58</v>
      </c>
      <c r="L139">
        <v>30</v>
      </c>
      <c r="M139">
        <v>96850.74</v>
      </c>
      <c r="N139">
        <v>76272.98</v>
      </c>
      <c r="O139">
        <v>20577.759999999998</v>
      </c>
      <c r="P139" t="s">
        <v>113</v>
      </c>
      <c r="Q139">
        <v>4.4000000000000004</v>
      </c>
      <c r="R139" t="s">
        <v>30</v>
      </c>
      <c r="S139" t="s">
        <v>87</v>
      </c>
      <c r="T139">
        <v>2025</v>
      </c>
    </row>
    <row r="140" spans="1:20" x14ac:dyDescent="0.3">
      <c r="A140" t="s">
        <v>381</v>
      </c>
      <c r="B140" t="s">
        <v>382</v>
      </c>
      <c r="C140" t="s">
        <v>97</v>
      </c>
      <c r="D140" t="s">
        <v>125</v>
      </c>
      <c r="E140" t="s">
        <v>139</v>
      </c>
      <c r="F140" t="s">
        <v>45</v>
      </c>
      <c r="G140" t="s">
        <v>46</v>
      </c>
      <c r="H140" t="s">
        <v>106</v>
      </c>
      <c r="I140" t="s">
        <v>101</v>
      </c>
      <c r="J140">
        <v>1</v>
      </c>
      <c r="K140">
        <v>3848.54</v>
      </c>
      <c r="L140">
        <v>30</v>
      </c>
      <c r="M140">
        <v>3848.54</v>
      </c>
      <c r="N140">
        <v>2669.53</v>
      </c>
      <c r="O140">
        <v>1179.01</v>
      </c>
      <c r="P140" t="s">
        <v>144</v>
      </c>
      <c r="Q140">
        <v>4.5999999999999996</v>
      </c>
      <c r="R140" t="s">
        <v>30</v>
      </c>
      <c r="S140" t="s">
        <v>102</v>
      </c>
      <c r="T140">
        <v>2025</v>
      </c>
    </row>
    <row r="141" spans="1:20" x14ac:dyDescent="0.3">
      <c r="A141" t="s">
        <v>383</v>
      </c>
      <c r="B141" t="s">
        <v>243</v>
      </c>
      <c r="C141" t="s">
        <v>168</v>
      </c>
      <c r="D141" t="s">
        <v>132</v>
      </c>
      <c r="E141" t="s">
        <v>158</v>
      </c>
      <c r="F141" t="s">
        <v>62</v>
      </c>
      <c r="G141" t="s">
        <v>71</v>
      </c>
      <c r="H141" t="s">
        <v>64</v>
      </c>
      <c r="I141" t="s">
        <v>65</v>
      </c>
      <c r="J141">
        <v>1</v>
      </c>
      <c r="K141">
        <v>48175.48</v>
      </c>
      <c r="L141">
        <v>10</v>
      </c>
      <c r="M141">
        <v>48175.48</v>
      </c>
      <c r="N141">
        <v>38311.07</v>
      </c>
      <c r="O141">
        <v>9864.41</v>
      </c>
      <c r="P141" t="s">
        <v>113</v>
      </c>
      <c r="Q141">
        <v>1.5</v>
      </c>
      <c r="R141" t="s">
        <v>30</v>
      </c>
      <c r="S141" t="s">
        <v>78</v>
      </c>
      <c r="T141">
        <v>2024</v>
      </c>
    </row>
    <row r="142" spans="1:20" x14ac:dyDescent="0.3">
      <c r="A142" t="s">
        <v>384</v>
      </c>
      <c r="B142" t="s">
        <v>385</v>
      </c>
      <c r="C142" t="s">
        <v>34</v>
      </c>
      <c r="D142" t="s">
        <v>52</v>
      </c>
      <c r="E142" t="s">
        <v>53</v>
      </c>
      <c r="F142" t="s">
        <v>54</v>
      </c>
      <c r="G142" t="s">
        <v>55</v>
      </c>
      <c r="H142" t="s">
        <v>92</v>
      </c>
      <c r="I142" t="s">
        <v>180</v>
      </c>
      <c r="J142">
        <v>2</v>
      </c>
      <c r="K142">
        <v>2273.0100000000002</v>
      </c>
      <c r="L142">
        <v>20</v>
      </c>
      <c r="M142">
        <v>4546.0200000000004</v>
      </c>
      <c r="N142">
        <v>3372.43</v>
      </c>
      <c r="O142">
        <v>1173.5899999999999</v>
      </c>
      <c r="P142" t="s">
        <v>41</v>
      </c>
      <c r="Q142">
        <v>4.3</v>
      </c>
      <c r="R142" t="s">
        <v>30</v>
      </c>
      <c r="S142" t="s">
        <v>87</v>
      </c>
      <c r="T142">
        <v>2025</v>
      </c>
    </row>
    <row r="143" spans="1:20" x14ac:dyDescent="0.3">
      <c r="A143" t="s">
        <v>386</v>
      </c>
      <c r="B143" t="s">
        <v>387</v>
      </c>
      <c r="C143" t="s">
        <v>22</v>
      </c>
      <c r="D143" t="s">
        <v>132</v>
      </c>
      <c r="E143" t="s">
        <v>133</v>
      </c>
      <c r="F143" t="s">
        <v>37</v>
      </c>
      <c r="G143" t="s">
        <v>38</v>
      </c>
      <c r="H143" t="s">
        <v>86</v>
      </c>
      <c r="I143" t="s">
        <v>40</v>
      </c>
      <c r="J143">
        <v>3</v>
      </c>
      <c r="K143">
        <v>48346.41</v>
      </c>
      <c r="L143">
        <v>25</v>
      </c>
      <c r="M143">
        <v>145039.23000000001</v>
      </c>
      <c r="N143">
        <v>120756.99</v>
      </c>
      <c r="O143">
        <v>24282.240000000002</v>
      </c>
      <c r="P143" t="s">
        <v>29</v>
      </c>
      <c r="Q143">
        <v>1.4</v>
      </c>
      <c r="R143" t="s">
        <v>30</v>
      </c>
      <c r="S143" t="s">
        <v>87</v>
      </c>
      <c r="T143">
        <v>2025</v>
      </c>
    </row>
    <row r="144" spans="1:20" x14ac:dyDescent="0.3">
      <c r="A144" t="s">
        <v>388</v>
      </c>
      <c r="B144" t="s">
        <v>389</v>
      </c>
      <c r="C144" t="s">
        <v>90</v>
      </c>
      <c r="D144" t="s">
        <v>35</v>
      </c>
      <c r="E144" t="s">
        <v>36</v>
      </c>
      <c r="F144" t="s">
        <v>62</v>
      </c>
      <c r="G144" t="s">
        <v>71</v>
      </c>
      <c r="H144" t="s">
        <v>83</v>
      </c>
      <c r="I144" t="s">
        <v>65</v>
      </c>
      <c r="J144">
        <v>2</v>
      </c>
      <c r="K144">
        <v>8383.86</v>
      </c>
      <c r="L144">
        <v>15</v>
      </c>
      <c r="M144">
        <v>16767.72</v>
      </c>
      <c r="N144">
        <v>14210.53</v>
      </c>
      <c r="O144">
        <v>2557.19</v>
      </c>
      <c r="P144" t="s">
        <v>73</v>
      </c>
      <c r="Q144">
        <v>3.1</v>
      </c>
      <c r="R144" t="s">
        <v>30</v>
      </c>
      <c r="S144" t="s">
        <v>31</v>
      </c>
      <c r="T144">
        <v>2024</v>
      </c>
    </row>
    <row r="145" spans="1:20" x14ac:dyDescent="0.3">
      <c r="A145" t="s">
        <v>390</v>
      </c>
      <c r="B145" t="s">
        <v>234</v>
      </c>
      <c r="C145" t="s">
        <v>80</v>
      </c>
      <c r="D145" t="s">
        <v>35</v>
      </c>
      <c r="E145" t="s">
        <v>36</v>
      </c>
      <c r="F145" t="s">
        <v>45</v>
      </c>
      <c r="G145" t="s">
        <v>46</v>
      </c>
      <c r="H145" t="s">
        <v>188</v>
      </c>
      <c r="I145" t="s">
        <v>169</v>
      </c>
      <c r="J145">
        <v>1</v>
      </c>
      <c r="K145">
        <v>15344.02</v>
      </c>
      <c r="L145">
        <v>20</v>
      </c>
      <c r="M145">
        <v>15344.02</v>
      </c>
      <c r="N145">
        <v>12739.33</v>
      </c>
      <c r="O145">
        <v>2604.69</v>
      </c>
      <c r="P145" t="s">
        <v>41</v>
      </c>
      <c r="Q145">
        <v>4</v>
      </c>
      <c r="R145" t="s">
        <v>30</v>
      </c>
      <c r="S145" t="s">
        <v>49</v>
      </c>
      <c r="T145">
        <v>2024</v>
      </c>
    </row>
    <row r="146" spans="1:20" x14ac:dyDescent="0.3">
      <c r="A146" t="s">
        <v>391</v>
      </c>
      <c r="B146" t="s">
        <v>392</v>
      </c>
      <c r="C146" t="s">
        <v>116</v>
      </c>
      <c r="D146" t="s">
        <v>98</v>
      </c>
      <c r="E146" t="s">
        <v>99</v>
      </c>
      <c r="F146" t="s">
        <v>54</v>
      </c>
      <c r="G146" t="s">
        <v>228</v>
      </c>
      <c r="H146" t="s">
        <v>117</v>
      </c>
      <c r="I146" t="s">
        <v>93</v>
      </c>
      <c r="J146">
        <v>4</v>
      </c>
      <c r="K146">
        <v>49142.57</v>
      </c>
      <c r="L146">
        <v>10</v>
      </c>
      <c r="M146">
        <v>196570.28</v>
      </c>
      <c r="N146">
        <v>159005.4</v>
      </c>
      <c r="O146">
        <v>37564.879999999997</v>
      </c>
      <c r="P146" t="s">
        <v>41</v>
      </c>
      <c r="Q146">
        <v>4.9000000000000004</v>
      </c>
      <c r="R146" t="s">
        <v>30</v>
      </c>
      <c r="S146" t="s">
        <v>94</v>
      </c>
      <c r="T146">
        <v>2024</v>
      </c>
    </row>
    <row r="147" spans="1:20" x14ac:dyDescent="0.3">
      <c r="A147" t="s">
        <v>393</v>
      </c>
      <c r="B147" t="s">
        <v>124</v>
      </c>
      <c r="C147" t="s">
        <v>136</v>
      </c>
      <c r="D147" t="s">
        <v>81</v>
      </c>
      <c r="E147" t="s">
        <v>82</v>
      </c>
      <c r="F147" t="s">
        <v>25</v>
      </c>
      <c r="G147" t="s">
        <v>111</v>
      </c>
      <c r="H147" t="s">
        <v>235</v>
      </c>
      <c r="I147" t="s">
        <v>112</v>
      </c>
      <c r="J147">
        <v>5</v>
      </c>
      <c r="K147">
        <v>45182.27</v>
      </c>
      <c r="L147">
        <v>25</v>
      </c>
      <c r="M147">
        <v>225911.35</v>
      </c>
      <c r="N147">
        <v>179226.56</v>
      </c>
      <c r="O147">
        <v>46684.79</v>
      </c>
      <c r="P147" t="s">
        <v>29</v>
      </c>
      <c r="Q147">
        <v>3.1</v>
      </c>
      <c r="R147" t="s">
        <v>159</v>
      </c>
      <c r="S147" t="s">
        <v>94</v>
      </c>
      <c r="T147">
        <v>2024</v>
      </c>
    </row>
    <row r="148" spans="1:20" x14ac:dyDescent="0.3">
      <c r="A148" t="s">
        <v>394</v>
      </c>
      <c r="B148" t="s">
        <v>395</v>
      </c>
      <c r="C148" t="s">
        <v>97</v>
      </c>
      <c r="D148" t="s">
        <v>52</v>
      </c>
      <c r="E148" t="s">
        <v>110</v>
      </c>
      <c r="F148" t="s">
        <v>37</v>
      </c>
      <c r="G148" t="s">
        <v>38</v>
      </c>
      <c r="H148" t="s">
        <v>86</v>
      </c>
      <c r="I148" t="s">
        <v>40</v>
      </c>
      <c r="J148">
        <v>2</v>
      </c>
      <c r="K148">
        <v>18309.060000000001</v>
      </c>
      <c r="L148">
        <v>5</v>
      </c>
      <c r="M148">
        <v>36618.120000000003</v>
      </c>
      <c r="N148">
        <v>25021.74</v>
      </c>
      <c r="O148">
        <v>11596.38</v>
      </c>
      <c r="P148" t="s">
        <v>144</v>
      </c>
      <c r="Q148">
        <v>1.9</v>
      </c>
      <c r="R148" t="s">
        <v>30</v>
      </c>
      <c r="S148" t="s">
        <v>49</v>
      </c>
      <c r="T148">
        <v>2024</v>
      </c>
    </row>
    <row r="149" spans="1:20" x14ac:dyDescent="0.3">
      <c r="A149" t="s">
        <v>396</v>
      </c>
      <c r="B149" t="s">
        <v>397</v>
      </c>
      <c r="C149" t="s">
        <v>136</v>
      </c>
      <c r="D149" t="s">
        <v>81</v>
      </c>
      <c r="E149" t="s">
        <v>82</v>
      </c>
      <c r="F149" t="s">
        <v>54</v>
      </c>
      <c r="G149" t="s">
        <v>91</v>
      </c>
      <c r="H149" t="s">
        <v>56</v>
      </c>
      <c r="I149" t="s">
        <v>180</v>
      </c>
      <c r="J149">
        <v>4</v>
      </c>
      <c r="K149">
        <v>33021.1</v>
      </c>
      <c r="L149">
        <v>20</v>
      </c>
      <c r="M149">
        <v>132084.4</v>
      </c>
      <c r="N149">
        <v>94621.18</v>
      </c>
      <c r="O149">
        <v>37463.22</v>
      </c>
      <c r="P149" t="s">
        <v>29</v>
      </c>
      <c r="Q149">
        <v>4.4000000000000004</v>
      </c>
      <c r="R149" t="s">
        <v>30</v>
      </c>
      <c r="S149" t="s">
        <v>162</v>
      </c>
      <c r="T149">
        <v>2024</v>
      </c>
    </row>
    <row r="150" spans="1:20" x14ac:dyDescent="0.3">
      <c r="A150" t="s">
        <v>398</v>
      </c>
      <c r="B150" t="s">
        <v>399</v>
      </c>
      <c r="C150" t="s">
        <v>200</v>
      </c>
      <c r="D150" t="s">
        <v>52</v>
      </c>
      <c r="E150" t="s">
        <v>110</v>
      </c>
      <c r="F150" t="s">
        <v>37</v>
      </c>
      <c r="G150" t="s">
        <v>38</v>
      </c>
      <c r="H150" t="s">
        <v>86</v>
      </c>
      <c r="I150" t="s">
        <v>40</v>
      </c>
      <c r="J150">
        <v>5</v>
      </c>
      <c r="K150">
        <v>42814.17</v>
      </c>
      <c r="L150">
        <v>15</v>
      </c>
      <c r="M150">
        <v>214070.85</v>
      </c>
      <c r="N150">
        <v>139690.18</v>
      </c>
      <c r="O150">
        <v>74380.67</v>
      </c>
      <c r="P150" t="s">
        <v>29</v>
      </c>
      <c r="Q150">
        <v>4.2</v>
      </c>
      <c r="R150" t="s">
        <v>30</v>
      </c>
      <c r="S150" t="s">
        <v>31</v>
      </c>
      <c r="T150">
        <v>2024</v>
      </c>
    </row>
    <row r="151" spans="1:20" x14ac:dyDescent="0.3">
      <c r="A151" t="s">
        <v>400</v>
      </c>
      <c r="B151" t="s">
        <v>401</v>
      </c>
      <c r="C151" t="s">
        <v>34</v>
      </c>
      <c r="D151" t="s">
        <v>69</v>
      </c>
      <c r="E151" t="s">
        <v>70</v>
      </c>
      <c r="F151" t="s">
        <v>45</v>
      </c>
      <c r="G151" t="s">
        <v>105</v>
      </c>
      <c r="H151" t="s">
        <v>100</v>
      </c>
      <c r="I151" t="s">
        <v>48</v>
      </c>
      <c r="J151">
        <v>2</v>
      </c>
      <c r="K151">
        <v>5293.87</v>
      </c>
      <c r="L151">
        <v>20</v>
      </c>
      <c r="M151">
        <v>10587.74</v>
      </c>
      <c r="N151">
        <v>8035.24</v>
      </c>
      <c r="O151">
        <v>2552.5</v>
      </c>
      <c r="P151" t="s">
        <v>29</v>
      </c>
      <c r="Q151">
        <v>2.7</v>
      </c>
      <c r="R151" t="s">
        <v>30</v>
      </c>
      <c r="S151" t="s">
        <v>42</v>
      </c>
      <c r="T151">
        <v>2024</v>
      </c>
    </row>
    <row r="152" spans="1:20" x14ac:dyDescent="0.3">
      <c r="A152" t="s">
        <v>402</v>
      </c>
      <c r="B152" t="s">
        <v>311</v>
      </c>
      <c r="C152" t="s">
        <v>97</v>
      </c>
      <c r="D152" t="s">
        <v>125</v>
      </c>
      <c r="E152" t="s">
        <v>139</v>
      </c>
      <c r="F152" t="s">
        <v>25</v>
      </c>
      <c r="G152" t="s">
        <v>26</v>
      </c>
      <c r="H152" t="s">
        <v>221</v>
      </c>
      <c r="I152" t="s">
        <v>28</v>
      </c>
      <c r="J152">
        <v>5</v>
      </c>
      <c r="K152">
        <v>16596.580000000002</v>
      </c>
      <c r="L152">
        <v>30</v>
      </c>
      <c r="M152">
        <v>82982.899999999994</v>
      </c>
      <c r="N152">
        <v>56125.74</v>
      </c>
      <c r="O152">
        <v>26857.16</v>
      </c>
      <c r="P152" t="s">
        <v>41</v>
      </c>
      <c r="Q152">
        <v>2.1</v>
      </c>
      <c r="R152" t="s">
        <v>30</v>
      </c>
      <c r="S152" t="s">
        <v>102</v>
      </c>
      <c r="T152">
        <v>2025</v>
      </c>
    </row>
    <row r="153" spans="1:20" x14ac:dyDescent="0.3">
      <c r="A153" t="s">
        <v>403</v>
      </c>
      <c r="B153" t="s">
        <v>404</v>
      </c>
      <c r="C153" t="s">
        <v>116</v>
      </c>
      <c r="D153" t="s">
        <v>23</v>
      </c>
      <c r="E153" t="s">
        <v>24</v>
      </c>
      <c r="F153" t="s">
        <v>37</v>
      </c>
      <c r="G153" t="s">
        <v>38</v>
      </c>
      <c r="H153" t="s">
        <v>77</v>
      </c>
      <c r="I153" t="s">
        <v>40</v>
      </c>
      <c r="J153">
        <v>1</v>
      </c>
      <c r="K153">
        <v>48940.95</v>
      </c>
      <c r="L153">
        <v>20</v>
      </c>
      <c r="M153">
        <v>48940.95</v>
      </c>
      <c r="N153">
        <v>39090.9</v>
      </c>
      <c r="O153">
        <v>9850.0499999999993</v>
      </c>
      <c r="P153" t="s">
        <v>144</v>
      </c>
      <c r="Q153">
        <v>1</v>
      </c>
      <c r="R153" t="s">
        <v>30</v>
      </c>
      <c r="S153" t="s">
        <v>102</v>
      </c>
      <c r="T153">
        <v>2024</v>
      </c>
    </row>
    <row r="154" spans="1:20" x14ac:dyDescent="0.3">
      <c r="A154" t="s">
        <v>405</v>
      </c>
      <c r="B154" t="s">
        <v>406</v>
      </c>
      <c r="C154" t="s">
        <v>34</v>
      </c>
      <c r="D154" t="s">
        <v>125</v>
      </c>
      <c r="E154" t="s">
        <v>139</v>
      </c>
      <c r="F154" t="s">
        <v>37</v>
      </c>
      <c r="G154" t="s">
        <v>38</v>
      </c>
      <c r="H154" t="s">
        <v>39</v>
      </c>
      <c r="I154" t="s">
        <v>40</v>
      </c>
      <c r="J154">
        <v>5</v>
      </c>
      <c r="K154">
        <v>10059.450000000001</v>
      </c>
      <c r="L154">
        <v>25</v>
      </c>
      <c r="M154">
        <v>50297.25</v>
      </c>
      <c r="N154">
        <v>41017.69</v>
      </c>
      <c r="O154">
        <v>9279.56</v>
      </c>
      <c r="P154" t="s">
        <v>113</v>
      </c>
      <c r="Q154">
        <v>4.3</v>
      </c>
      <c r="R154" t="s">
        <v>159</v>
      </c>
      <c r="S154" t="s">
        <v>94</v>
      </c>
      <c r="T154">
        <v>2024</v>
      </c>
    </row>
    <row r="155" spans="1:20" x14ac:dyDescent="0.3">
      <c r="A155" t="s">
        <v>407</v>
      </c>
      <c r="B155" t="s">
        <v>280</v>
      </c>
      <c r="C155" t="s">
        <v>200</v>
      </c>
      <c r="D155" t="s">
        <v>125</v>
      </c>
      <c r="E155" t="s">
        <v>126</v>
      </c>
      <c r="F155" t="s">
        <v>45</v>
      </c>
      <c r="G155" t="s">
        <v>105</v>
      </c>
      <c r="H155" t="s">
        <v>100</v>
      </c>
      <c r="I155" t="s">
        <v>169</v>
      </c>
      <c r="J155">
        <v>1</v>
      </c>
      <c r="K155">
        <v>4820.8</v>
      </c>
      <c r="L155">
        <v>25</v>
      </c>
      <c r="M155">
        <v>4820.8</v>
      </c>
      <c r="N155">
        <v>3847.39</v>
      </c>
      <c r="O155">
        <v>973.41</v>
      </c>
      <c r="P155" t="s">
        <v>73</v>
      </c>
      <c r="Q155">
        <v>4.3</v>
      </c>
      <c r="R155" t="s">
        <v>30</v>
      </c>
      <c r="S155" t="s">
        <v>42</v>
      </c>
      <c r="T155">
        <v>2024</v>
      </c>
    </row>
    <row r="156" spans="1:20" x14ac:dyDescent="0.3">
      <c r="A156" t="s">
        <v>408</v>
      </c>
      <c r="B156" t="s">
        <v>409</v>
      </c>
      <c r="C156" t="s">
        <v>61</v>
      </c>
      <c r="D156" t="s">
        <v>98</v>
      </c>
      <c r="E156" t="s">
        <v>99</v>
      </c>
      <c r="F156" t="s">
        <v>25</v>
      </c>
      <c r="G156" t="s">
        <v>111</v>
      </c>
      <c r="H156" t="s">
        <v>129</v>
      </c>
      <c r="I156" t="s">
        <v>28</v>
      </c>
      <c r="J156">
        <v>4</v>
      </c>
      <c r="K156">
        <v>12087.35</v>
      </c>
      <c r="L156">
        <v>15</v>
      </c>
      <c r="M156">
        <v>48349.4</v>
      </c>
      <c r="N156">
        <v>39557.160000000003</v>
      </c>
      <c r="O156">
        <v>8792.24</v>
      </c>
      <c r="P156" t="s">
        <v>41</v>
      </c>
      <c r="Q156">
        <v>2.6</v>
      </c>
      <c r="R156" t="s">
        <v>30</v>
      </c>
      <c r="S156" t="s">
        <v>58</v>
      </c>
      <c r="T156">
        <v>2024</v>
      </c>
    </row>
    <row r="157" spans="1:20" x14ac:dyDescent="0.3">
      <c r="A157" t="s">
        <v>410</v>
      </c>
      <c r="B157" t="s">
        <v>335</v>
      </c>
      <c r="C157" t="s">
        <v>61</v>
      </c>
      <c r="D157" t="s">
        <v>125</v>
      </c>
      <c r="E157" t="s">
        <v>126</v>
      </c>
      <c r="F157" t="s">
        <v>45</v>
      </c>
      <c r="G157" t="s">
        <v>105</v>
      </c>
      <c r="H157" t="s">
        <v>47</v>
      </c>
      <c r="I157" t="s">
        <v>48</v>
      </c>
      <c r="J157">
        <v>5</v>
      </c>
      <c r="K157">
        <v>43522.080000000002</v>
      </c>
      <c r="L157">
        <v>15</v>
      </c>
      <c r="M157">
        <v>217610.4</v>
      </c>
      <c r="N157">
        <v>159385.15</v>
      </c>
      <c r="O157">
        <v>58225.25</v>
      </c>
      <c r="P157" t="s">
        <v>113</v>
      </c>
      <c r="Q157">
        <v>4.8</v>
      </c>
      <c r="R157" t="s">
        <v>30</v>
      </c>
      <c r="S157" t="s">
        <v>31</v>
      </c>
      <c r="T157">
        <v>2024</v>
      </c>
    </row>
    <row r="158" spans="1:20" x14ac:dyDescent="0.3">
      <c r="A158" t="s">
        <v>411</v>
      </c>
      <c r="B158" t="s">
        <v>267</v>
      </c>
      <c r="C158" t="s">
        <v>136</v>
      </c>
      <c r="D158" t="s">
        <v>81</v>
      </c>
      <c r="E158" t="s">
        <v>128</v>
      </c>
      <c r="F158" t="s">
        <v>54</v>
      </c>
      <c r="G158" t="s">
        <v>91</v>
      </c>
      <c r="H158" t="s">
        <v>56</v>
      </c>
      <c r="I158" t="s">
        <v>57</v>
      </c>
      <c r="J158">
        <v>1</v>
      </c>
      <c r="K158">
        <v>42409.26</v>
      </c>
      <c r="L158">
        <v>30</v>
      </c>
      <c r="M158">
        <v>42409.26</v>
      </c>
      <c r="N158">
        <v>27845</v>
      </c>
      <c r="O158">
        <v>14564.26</v>
      </c>
      <c r="P158" t="s">
        <v>29</v>
      </c>
      <c r="Q158">
        <v>2</v>
      </c>
      <c r="R158" t="s">
        <v>30</v>
      </c>
      <c r="S158" t="s">
        <v>162</v>
      </c>
      <c r="T158">
        <v>2024</v>
      </c>
    </row>
    <row r="159" spans="1:20" x14ac:dyDescent="0.3">
      <c r="A159" t="s">
        <v>412</v>
      </c>
      <c r="B159" t="s">
        <v>212</v>
      </c>
      <c r="C159" t="s">
        <v>136</v>
      </c>
      <c r="D159" t="s">
        <v>23</v>
      </c>
      <c r="E159" t="s">
        <v>24</v>
      </c>
      <c r="F159" t="s">
        <v>25</v>
      </c>
      <c r="G159" t="s">
        <v>26</v>
      </c>
      <c r="H159" t="s">
        <v>221</v>
      </c>
      <c r="I159" t="s">
        <v>112</v>
      </c>
      <c r="J159">
        <v>5</v>
      </c>
      <c r="K159">
        <v>29882.47</v>
      </c>
      <c r="L159">
        <v>20</v>
      </c>
      <c r="M159">
        <v>149412.35</v>
      </c>
      <c r="N159">
        <v>99503.62</v>
      </c>
      <c r="O159">
        <v>49908.73</v>
      </c>
      <c r="P159" t="s">
        <v>73</v>
      </c>
      <c r="Q159">
        <v>4.7</v>
      </c>
      <c r="R159" t="s">
        <v>30</v>
      </c>
      <c r="S159" t="s">
        <v>119</v>
      </c>
      <c r="T159">
        <v>2024</v>
      </c>
    </row>
    <row r="160" spans="1:20" x14ac:dyDescent="0.3">
      <c r="A160" t="s">
        <v>413</v>
      </c>
      <c r="B160" t="s">
        <v>414</v>
      </c>
      <c r="C160" t="s">
        <v>168</v>
      </c>
      <c r="D160" t="s">
        <v>132</v>
      </c>
      <c r="E160" t="s">
        <v>158</v>
      </c>
      <c r="F160" t="s">
        <v>54</v>
      </c>
      <c r="G160" t="s">
        <v>91</v>
      </c>
      <c r="H160" t="s">
        <v>56</v>
      </c>
      <c r="I160" t="s">
        <v>296</v>
      </c>
      <c r="J160">
        <v>5</v>
      </c>
      <c r="K160">
        <v>40233.279999999999</v>
      </c>
      <c r="L160">
        <v>20</v>
      </c>
      <c r="M160">
        <v>201166.4</v>
      </c>
      <c r="N160">
        <v>150291.29</v>
      </c>
      <c r="O160">
        <v>50875.11</v>
      </c>
      <c r="P160" t="s">
        <v>73</v>
      </c>
      <c r="Q160">
        <v>1.9</v>
      </c>
      <c r="R160" t="s">
        <v>159</v>
      </c>
      <c r="S160" t="s">
        <v>87</v>
      </c>
      <c r="T160">
        <v>2025</v>
      </c>
    </row>
    <row r="161" spans="1:20" x14ac:dyDescent="0.3">
      <c r="A161" t="s">
        <v>415</v>
      </c>
      <c r="B161" t="s">
        <v>416</v>
      </c>
      <c r="C161" t="s">
        <v>90</v>
      </c>
      <c r="D161" t="s">
        <v>35</v>
      </c>
      <c r="E161" t="s">
        <v>36</v>
      </c>
      <c r="F161" t="s">
        <v>62</v>
      </c>
      <c r="G161" t="s">
        <v>63</v>
      </c>
      <c r="H161" t="s">
        <v>271</v>
      </c>
      <c r="I161" t="s">
        <v>143</v>
      </c>
      <c r="J161">
        <v>4</v>
      </c>
      <c r="K161">
        <v>15357.36</v>
      </c>
      <c r="L161">
        <v>10</v>
      </c>
      <c r="M161">
        <v>61429.440000000002</v>
      </c>
      <c r="N161">
        <v>41440.769999999997</v>
      </c>
      <c r="O161">
        <v>19988.669999999998</v>
      </c>
      <c r="P161" t="s">
        <v>29</v>
      </c>
      <c r="Q161">
        <v>1.6</v>
      </c>
      <c r="R161" t="s">
        <v>30</v>
      </c>
      <c r="S161" t="s">
        <v>162</v>
      </c>
      <c r="T161">
        <v>2024</v>
      </c>
    </row>
    <row r="162" spans="1:20" x14ac:dyDescent="0.3">
      <c r="A162" t="s">
        <v>417</v>
      </c>
      <c r="B162" t="s">
        <v>76</v>
      </c>
      <c r="C162" t="s">
        <v>168</v>
      </c>
      <c r="D162" t="s">
        <v>81</v>
      </c>
      <c r="E162" t="s">
        <v>82</v>
      </c>
      <c r="F162" t="s">
        <v>25</v>
      </c>
      <c r="G162" t="s">
        <v>111</v>
      </c>
      <c r="H162" t="s">
        <v>235</v>
      </c>
      <c r="I162" t="s">
        <v>112</v>
      </c>
      <c r="J162">
        <v>4</v>
      </c>
      <c r="K162">
        <v>10565.57</v>
      </c>
      <c r="L162">
        <v>25</v>
      </c>
      <c r="M162">
        <v>42262.28</v>
      </c>
      <c r="N162">
        <v>27843.16</v>
      </c>
      <c r="O162">
        <v>14419.12</v>
      </c>
      <c r="P162" t="s">
        <v>144</v>
      </c>
      <c r="Q162">
        <v>1.5</v>
      </c>
      <c r="R162" t="s">
        <v>30</v>
      </c>
      <c r="S162" t="s">
        <v>78</v>
      </c>
      <c r="T162">
        <v>2024</v>
      </c>
    </row>
    <row r="163" spans="1:20" x14ac:dyDescent="0.3">
      <c r="A163" t="s">
        <v>418</v>
      </c>
      <c r="B163" t="s">
        <v>214</v>
      </c>
      <c r="C163" t="s">
        <v>80</v>
      </c>
      <c r="D163" t="s">
        <v>98</v>
      </c>
      <c r="E163" t="s">
        <v>99</v>
      </c>
      <c r="F163" t="s">
        <v>25</v>
      </c>
      <c r="G163" t="s">
        <v>26</v>
      </c>
      <c r="H163" t="s">
        <v>221</v>
      </c>
      <c r="I163" t="s">
        <v>112</v>
      </c>
      <c r="J163">
        <v>4</v>
      </c>
      <c r="K163">
        <v>42533.26</v>
      </c>
      <c r="L163">
        <v>15</v>
      </c>
      <c r="M163">
        <v>170133.04</v>
      </c>
      <c r="N163">
        <v>138431.45000000001</v>
      </c>
      <c r="O163">
        <v>31701.59</v>
      </c>
      <c r="P163" t="s">
        <v>29</v>
      </c>
      <c r="Q163">
        <v>4.5999999999999996</v>
      </c>
      <c r="R163" t="s">
        <v>30</v>
      </c>
      <c r="S163" t="s">
        <v>58</v>
      </c>
      <c r="T163">
        <v>2024</v>
      </c>
    </row>
    <row r="164" spans="1:20" x14ac:dyDescent="0.3">
      <c r="A164" t="s">
        <v>419</v>
      </c>
      <c r="B164" t="s">
        <v>420</v>
      </c>
      <c r="C164" t="s">
        <v>90</v>
      </c>
      <c r="D164" t="s">
        <v>52</v>
      </c>
      <c r="E164" t="s">
        <v>53</v>
      </c>
      <c r="F164" t="s">
        <v>62</v>
      </c>
      <c r="G164" t="s">
        <v>71</v>
      </c>
      <c r="H164" t="s">
        <v>72</v>
      </c>
      <c r="I164" t="s">
        <v>65</v>
      </c>
      <c r="J164">
        <v>4</v>
      </c>
      <c r="K164">
        <v>18426.900000000001</v>
      </c>
      <c r="L164">
        <v>5</v>
      </c>
      <c r="M164">
        <v>73707.600000000006</v>
      </c>
      <c r="N164">
        <v>54420.68</v>
      </c>
      <c r="O164">
        <v>19286.919999999998</v>
      </c>
      <c r="P164" t="s">
        <v>29</v>
      </c>
      <c r="Q164">
        <v>4.7</v>
      </c>
      <c r="R164" t="s">
        <v>159</v>
      </c>
      <c r="S164" t="s">
        <v>74</v>
      </c>
      <c r="T164">
        <v>2024</v>
      </c>
    </row>
    <row r="165" spans="1:20" x14ac:dyDescent="0.3">
      <c r="A165" t="s">
        <v>421</v>
      </c>
      <c r="B165" t="s">
        <v>300</v>
      </c>
      <c r="C165" t="s">
        <v>34</v>
      </c>
      <c r="D165" t="s">
        <v>81</v>
      </c>
      <c r="E165" t="s">
        <v>128</v>
      </c>
      <c r="F165" t="s">
        <v>45</v>
      </c>
      <c r="G165" t="s">
        <v>46</v>
      </c>
      <c r="H165" t="s">
        <v>100</v>
      </c>
      <c r="I165" t="s">
        <v>48</v>
      </c>
      <c r="J165">
        <v>1</v>
      </c>
      <c r="K165">
        <v>23369.23</v>
      </c>
      <c r="L165">
        <v>5</v>
      </c>
      <c r="M165">
        <v>23369.23</v>
      </c>
      <c r="N165">
        <v>19670.7</v>
      </c>
      <c r="O165">
        <v>3698.53</v>
      </c>
      <c r="P165" t="s">
        <v>122</v>
      </c>
      <c r="Q165">
        <v>1.5</v>
      </c>
      <c r="R165" t="s">
        <v>66</v>
      </c>
      <c r="S165" t="s">
        <v>58</v>
      </c>
      <c r="T165">
        <v>2024</v>
      </c>
    </row>
    <row r="166" spans="1:20" x14ac:dyDescent="0.3">
      <c r="A166" t="s">
        <v>422</v>
      </c>
      <c r="B166" t="s">
        <v>423</v>
      </c>
      <c r="C166" t="s">
        <v>22</v>
      </c>
      <c r="D166" t="s">
        <v>35</v>
      </c>
      <c r="E166" t="s">
        <v>36</v>
      </c>
      <c r="F166" t="s">
        <v>45</v>
      </c>
      <c r="G166" t="s">
        <v>46</v>
      </c>
      <c r="H166" t="s">
        <v>100</v>
      </c>
      <c r="I166" t="s">
        <v>48</v>
      </c>
      <c r="J166">
        <v>5</v>
      </c>
      <c r="K166">
        <v>2735.32</v>
      </c>
      <c r="L166">
        <v>25</v>
      </c>
      <c r="M166">
        <v>13676.6</v>
      </c>
      <c r="N166">
        <v>10433.959999999999</v>
      </c>
      <c r="O166">
        <v>3242.64</v>
      </c>
      <c r="P166" t="s">
        <v>73</v>
      </c>
      <c r="Q166">
        <v>2.6</v>
      </c>
      <c r="R166" t="s">
        <v>30</v>
      </c>
      <c r="S166" t="s">
        <v>42</v>
      </c>
      <c r="T166">
        <v>2024</v>
      </c>
    </row>
    <row r="167" spans="1:20" x14ac:dyDescent="0.3">
      <c r="A167" t="s">
        <v>424</v>
      </c>
      <c r="B167" t="s">
        <v>76</v>
      </c>
      <c r="C167" t="s">
        <v>22</v>
      </c>
      <c r="D167" t="s">
        <v>35</v>
      </c>
      <c r="E167" t="s">
        <v>36</v>
      </c>
      <c r="F167" t="s">
        <v>54</v>
      </c>
      <c r="G167" t="s">
        <v>91</v>
      </c>
      <c r="H167" t="s">
        <v>179</v>
      </c>
      <c r="I167" t="s">
        <v>296</v>
      </c>
      <c r="J167">
        <v>3</v>
      </c>
      <c r="K167">
        <v>48944.01</v>
      </c>
      <c r="L167">
        <v>5</v>
      </c>
      <c r="M167">
        <v>146832.03</v>
      </c>
      <c r="N167">
        <v>114040.99</v>
      </c>
      <c r="O167">
        <v>32791.040000000001</v>
      </c>
      <c r="P167" t="s">
        <v>113</v>
      </c>
      <c r="Q167">
        <v>4.2</v>
      </c>
      <c r="R167" t="s">
        <v>30</v>
      </c>
      <c r="S167" t="s">
        <v>78</v>
      </c>
      <c r="T167">
        <v>2024</v>
      </c>
    </row>
    <row r="168" spans="1:20" x14ac:dyDescent="0.3">
      <c r="A168" t="s">
        <v>425</v>
      </c>
      <c r="B168" t="s">
        <v>426</v>
      </c>
      <c r="C168" t="s">
        <v>61</v>
      </c>
      <c r="D168" t="s">
        <v>35</v>
      </c>
      <c r="E168" t="s">
        <v>36</v>
      </c>
      <c r="F168" t="s">
        <v>45</v>
      </c>
      <c r="G168" t="s">
        <v>105</v>
      </c>
      <c r="H168" t="s">
        <v>176</v>
      </c>
      <c r="I168" t="s">
        <v>169</v>
      </c>
      <c r="J168">
        <v>2</v>
      </c>
      <c r="K168">
        <v>32590.46</v>
      </c>
      <c r="L168">
        <v>25</v>
      </c>
      <c r="M168">
        <v>65180.92</v>
      </c>
      <c r="N168">
        <v>42374.55</v>
      </c>
      <c r="O168">
        <v>22806.37</v>
      </c>
      <c r="P168" t="s">
        <v>144</v>
      </c>
      <c r="Q168">
        <v>2.4</v>
      </c>
      <c r="R168" t="s">
        <v>30</v>
      </c>
      <c r="S168" t="s">
        <v>107</v>
      </c>
      <c r="T168">
        <v>2024</v>
      </c>
    </row>
    <row r="169" spans="1:20" x14ac:dyDescent="0.3">
      <c r="A169" t="s">
        <v>427</v>
      </c>
      <c r="B169" t="s">
        <v>205</v>
      </c>
      <c r="C169" t="s">
        <v>34</v>
      </c>
      <c r="D169" t="s">
        <v>23</v>
      </c>
      <c r="E169" t="s">
        <v>24</v>
      </c>
      <c r="F169" t="s">
        <v>45</v>
      </c>
      <c r="G169" t="s">
        <v>46</v>
      </c>
      <c r="H169" t="s">
        <v>176</v>
      </c>
      <c r="I169" t="s">
        <v>48</v>
      </c>
      <c r="J169">
        <v>2</v>
      </c>
      <c r="K169">
        <v>35286.97</v>
      </c>
      <c r="L169">
        <v>25</v>
      </c>
      <c r="M169">
        <v>70573.94</v>
      </c>
      <c r="N169">
        <v>52903.94</v>
      </c>
      <c r="O169">
        <v>17670</v>
      </c>
      <c r="P169" t="s">
        <v>144</v>
      </c>
      <c r="Q169">
        <v>3.3</v>
      </c>
      <c r="R169" t="s">
        <v>30</v>
      </c>
      <c r="S169" t="s">
        <v>74</v>
      </c>
      <c r="T169">
        <v>2024</v>
      </c>
    </row>
    <row r="170" spans="1:20" x14ac:dyDescent="0.3">
      <c r="A170" t="s">
        <v>428</v>
      </c>
      <c r="B170" t="s">
        <v>429</v>
      </c>
      <c r="C170" t="s">
        <v>136</v>
      </c>
      <c r="D170" t="s">
        <v>132</v>
      </c>
      <c r="E170" t="s">
        <v>158</v>
      </c>
      <c r="F170" t="s">
        <v>25</v>
      </c>
      <c r="G170" t="s">
        <v>111</v>
      </c>
      <c r="H170" t="s">
        <v>221</v>
      </c>
      <c r="I170" t="s">
        <v>28</v>
      </c>
      <c r="J170">
        <v>3</v>
      </c>
      <c r="K170">
        <v>42881.03</v>
      </c>
      <c r="L170">
        <v>10</v>
      </c>
      <c r="M170">
        <v>128643.09</v>
      </c>
      <c r="N170">
        <v>90252.9</v>
      </c>
      <c r="O170">
        <v>38390.19</v>
      </c>
      <c r="P170" t="s">
        <v>144</v>
      </c>
      <c r="Q170">
        <v>4.4000000000000004</v>
      </c>
      <c r="R170" t="s">
        <v>30</v>
      </c>
      <c r="S170" t="s">
        <v>58</v>
      </c>
      <c r="T170">
        <v>2024</v>
      </c>
    </row>
    <row r="171" spans="1:20" x14ac:dyDescent="0.3">
      <c r="A171" t="s">
        <v>430</v>
      </c>
      <c r="B171" t="s">
        <v>431</v>
      </c>
      <c r="C171" t="s">
        <v>200</v>
      </c>
      <c r="D171" t="s">
        <v>81</v>
      </c>
      <c r="E171" t="s">
        <v>82</v>
      </c>
      <c r="F171" t="s">
        <v>45</v>
      </c>
      <c r="G171" t="s">
        <v>46</v>
      </c>
      <c r="H171" t="s">
        <v>188</v>
      </c>
      <c r="I171" t="s">
        <v>48</v>
      </c>
      <c r="J171">
        <v>2</v>
      </c>
      <c r="K171">
        <v>28246.25</v>
      </c>
      <c r="L171">
        <v>5</v>
      </c>
      <c r="M171">
        <v>56492.5</v>
      </c>
      <c r="N171">
        <v>41268.160000000003</v>
      </c>
      <c r="O171">
        <v>15224.34</v>
      </c>
      <c r="P171" t="s">
        <v>144</v>
      </c>
      <c r="Q171">
        <v>2.2999999999999998</v>
      </c>
      <c r="R171" t="s">
        <v>30</v>
      </c>
      <c r="S171" t="s">
        <v>119</v>
      </c>
      <c r="T171">
        <v>2024</v>
      </c>
    </row>
    <row r="172" spans="1:20" x14ac:dyDescent="0.3">
      <c r="A172" t="s">
        <v>432</v>
      </c>
      <c r="B172" t="s">
        <v>313</v>
      </c>
      <c r="C172" t="s">
        <v>116</v>
      </c>
      <c r="D172" t="s">
        <v>98</v>
      </c>
      <c r="E172" t="s">
        <v>99</v>
      </c>
      <c r="F172" t="s">
        <v>45</v>
      </c>
      <c r="G172" t="s">
        <v>46</v>
      </c>
      <c r="H172" t="s">
        <v>188</v>
      </c>
      <c r="I172" t="s">
        <v>48</v>
      </c>
      <c r="J172">
        <v>2</v>
      </c>
      <c r="K172">
        <v>24619.84</v>
      </c>
      <c r="L172">
        <v>25</v>
      </c>
      <c r="M172">
        <v>49239.68</v>
      </c>
      <c r="N172">
        <v>33609.53</v>
      </c>
      <c r="O172">
        <v>15630.15</v>
      </c>
      <c r="P172" t="s">
        <v>29</v>
      </c>
      <c r="Q172">
        <v>4.0999999999999996</v>
      </c>
      <c r="R172" t="s">
        <v>30</v>
      </c>
      <c r="S172" t="s">
        <v>42</v>
      </c>
      <c r="T172">
        <v>2024</v>
      </c>
    </row>
    <row r="173" spans="1:20" x14ac:dyDescent="0.3">
      <c r="A173" t="s">
        <v>433</v>
      </c>
      <c r="B173" t="s">
        <v>300</v>
      </c>
      <c r="C173" t="s">
        <v>61</v>
      </c>
      <c r="D173" t="s">
        <v>132</v>
      </c>
      <c r="E173" t="s">
        <v>158</v>
      </c>
      <c r="F173" t="s">
        <v>37</v>
      </c>
      <c r="G173" t="s">
        <v>38</v>
      </c>
      <c r="H173" t="s">
        <v>327</v>
      </c>
      <c r="I173" t="s">
        <v>40</v>
      </c>
      <c r="J173">
        <v>3</v>
      </c>
      <c r="K173">
        <v>12083.96</v>
      </c>
      <c r="L173">
        <v>30</v>
      </c>
      <c r="M173">
        <v>36251.879999999997</v>
      </c>
      <c r="N173">
        <v>27795.96</v>
      </c>
      <c r="O173">
        <v>8455.92</v>
      </c>
      <c r="P173" t="s">
        <v>73</v>
      </c>
      <c r="Q173">
        <v>3</v>
      </c>
      <c r="R173" t="s">
        <v>30</v>
      </c>
      <c r="S173" t="s">
        <v>58</v>
      </c>
      <c r="T173">
        <v>2024</v>
      </c>
    </row>
    <row r="174" spans="1:20" x14ac:dyDescent="0.3">
      <c r="A174" t="s">
        <v>434</v>
      </c>
      <c r="B174" t="s">
        <v>435</v>
      </c>
      <c r="C174" t="s">
        <v>168</v>
      </c>
      <c r="D174" t="s">
        <v>35</v>
      </c>
      <c r="E174" t="s">
        <v>36</v>
      </c>
      <c r="F174" t="s">
        <v>25</v>
      </c>
      <c r="G174" t="s">
        <v>111</v>
      </c>
      <c r="H174" t="s">
        <v>235</v>
      </c>
      <c r="I174" t="s">
        <v>112</v>
      </c>
      <c r="J174">
        <v>5</v>
      </c>
      <c r="K174">
        <v>12214.72</v>
      </c>
      <c r="L174">
        <v>10</v>
      </c>
      <c r="M174">
        <v>61073.599999999999</v>
      </c>
      <c r="N174">
        <v>45495.6</v>
      </c>
      <c r="O174">
        <v>15578</v>
      </c>
      <c r="P174" t="s">
        <v>41</v>
      </c>
      <c r="Q174">
        <v>2.1</v>
      </c>
      <c r="R174" t="s">
        <v>30</v>
      </c>
      <c r="S174" t="s">
        <v>87</v>
      </c>
      <c r="T174">
        <v>2025</v>
      </c>
    </row>
    <row r="175" spans="1:20" x14ac:dyDescent="0.3">
      <c r="A175" t="s">
        <v>436</v>
      </c>
      <c r="B175" t="s">
        <v>275</v>
      </c>
      <c r="C175" t="s">
        <v>168</v>
      </c>
      <c r="D175" t="s">
        <v>132</v>
      </c>
      <c r="E175" t="s">
        <v>158</v>
      </c>
      <c r="F175" t="s">
        <v>25</v>
      </c>
      <c r="G175" t="s">
        <v>26</v>
      </c>
      <c r="H175" t="s">
        <v>221</v>
      </c>
      <c r="I175" t="s">
        <v>28</v>
      </c>
      <c r="J175">
        <v>1</v>
      </c>
      <c r="K175">
        <v>19386.27</v>
      </c>
      <c r="L175">
        <v>30</v>
      </c>
      <c r="M175">
        <v>19386.27</v>
      </c>
      <c r="N175">
        <v>15159.56</v>
      </c>
      <c r="O175">
        <v>4226.71</v>
      </c>
      <c r="P175" t="s">
        <v>113</v>
      </c>
      <c r="Q175">
        <v>4.0999999999999996</v>
      </c>
      <c r="R175" t="s">
        <v>30</v>
      </c>
      <c r="S175" t="s">
        <v>78</v>
      </c>
      <c r="T175">
        <v>2024</v>
      </c>
    </row>
    <row r="176" spans="1:20" x14ac:dyDescent="0.3">
      <c r="A176" t="s">
        <v>437</v>
      </c>
      <c r="B176" t="s">
        <v>291</v>
      </c>
      <c r="C176" t="s">
        <v>136</v>
      </c>
      <c r="D176" t="s">
        <v>69</v>
      </c>
      <c r="E176" t="s">
        <v>70</v>
      </c>
      <c r="F176" t="s">
        <v>25</v>
      </c>
      <c r="G176" t="s">
        <v>111</v>
      </c>
      <c r="H176" t="s">
        <v>27</v>
      </c>
      <c r="I176" t="s">
        <v>112</v>
      </c>
      <c r="J176">
        <v>3</v>
      </c>
      <c r="K176">
        <v>34879.4</v>
      </c>
      <c r="L176">
        <v>30</v>
      </c>
      <c r="M176">
        <v>104638.2</v>
      </c>
      <c r="N176">
        <v>82588.240000000005</v>
      </c>
      <c r="O176">
        <v>22049.96</v>
      </c>
      <c r="P176" t="s">
        <v>41</v>
      </c>
      <c r="Q176">
        <v>2.5</v>
      </c>
      <c r="R176" t="s">
        <v>159</v>
      </c>
      <c r="S176" t="s">
        <v>107</v>
      </c>
      <c r="T176">
        <v>2024</v>
      </c>
    </row>
    <row r="177" spans="1:20" x14ac:dyDescent="0.3">
      <c r="A177" t="s">
        <v>438</v>
      </c>
      <c r="B177" t="s">
        <v>399</v>
      </c>
      <c r="C177" t="s">
        <v>22</v>
      </c>
      <c r="D177" t="s">
        <v>81</v>
      </c>
      <c r="E177" t="s">
        <v>82</v>
      </c>
      <c r="F177" t="s">
        <v>54</v>
      </c>
      <c r="G177" t="s">
        <v>201</v>
      </c>
      <c r="H177" t="s">
        <v>179</v>
      </c>
      <c r="I177" t="s">
        <v>118</v>
      </c>
      <c r="J177">
        <v>5</v>
      </c>
      <c r="K177">
        <v>32016.11</v>
      </c>
      <c r="L177">
        <v>30</v>
      </c>
      <c r="M177">
        <v>160080.54999999999</v>
      </c>
      <c r="N177">
        <v>105211.32</v>
      </c>
      <c r="O177">
        <v>54869.23</v>
      </c>
      <c r="P177" t="s">
        <v>29</v>
      </c>
      <c r="Q177">
        <v>4.3</v>
      </c>
      <c r="R177" t="s">
        <v>30</v>
      </c>
      <c r="S177" t="s">
        <v>31</v>
      </c>
      <c r="T177">
        <v>2024</v>
      </c>
    </row>
    <row r="178" spans="1:20" x14ac:dyDescent="0.3">
      <c r="A178" t="s">
        <v>439</v>
      </c>
      <c r="B178" t="s">
        <v>440</v>
      </c>
      <c r="C178" t="s">
        <v>97</v>
      </c>
      <c r="D178" t="s">
        <v>52</v>
      </c>
      <c r="E178" t="s">
        <v>53</v>
      </c>
      <c r="F178" t="s">
        <v>37</v>
      </c>
      <c r="G178" t="s">
        <v>38</v>
      </c>
      <c r="H178" t="s">
        <v>140</v>
      </c>
      <c r="I178" t="s">
        <v>40</v>
      </c>
      <c r="J178">
        <v>1</v>
      </c>
      <c r="K178">
        <v>32264.17</v>
      </c>
      <c r="L178">
        <v>30</v>
      </c>
      <c r="M178">
        <v>32264.17</v>
      </c>
      <c r="N178">
        <v>23588.38</v>
      </c>
      <c r="O178">
        <v>8675.7900000000009</v>
      </c>
      <c r="P178" t="s">
        <v>144</v>
      </c>
      <c r="Q178">
        <v>4.0999999999999996</v>
      </c>
      <c r="R178" t="s">
        <v>30</v>
      </c>
      <c r="S178" t="s">
        <v>78</v>
      </c>
      <c r="T178">
        <v>2024</v>
      </c>
    </row>
    <row r="179" spans="1:20" x14ac:dyDescent="0.3">
      <c r="A179" t="s">
        <v>441</v>
      </c>
      <c r="B179" t="s">
        <v>442</v>
      </c>
      <c r="C179" t="s">
        <v>80</v>
      </c>
      <c r="D179" t="s">
        <v>35</v>
      </c>
      <c r="E179" t="s">
        <v>36</v>
      </c>
      <c r="F179" t="s">
        <v>45</v>
      </c>
      <c r="G179" t="s">
        <v>105</v>
      </c>
      <c r="H179" t="s">
        <v>188</v>
      </c>
      <c r="I179" t="s">
        <v>48</v>
      </c>
      <c r="J179">
        <v>4</v>
      </c>
      <c r="K179">
        <v>30171.74</v>
      </c>
      <c r="L179">
        <v>25</v>
      </c>
      <c r="M179">
        <v>120686.96</v>
      </c>
      <c r="N179">
        <v>81573.53</v>
      </c>
      <c r="O179">
        <v>39113.43</v>
      </c>
      <c r="P179" t="s">
        <v>144</v>
      </c>
      <c r="Q179">
        <v>3.8</v>
      </c>
      <c r="R179" t="s">
        <v>30</v>
      </c>
      <c r="S179" t="s">
        <v>78</v>
      </c>
      <c r="T179">
        <v>2024</v>
      </c>
    </row>
    <row r="180" spans="1:20" x14ac:dyDescent="0.3">
      <c r="A180" t="s">
        <v>443</v>
      </c>
      <c r="B180" t="s">
        <v>444</v>
      </c>
      <c r="C180" t="s">
        <v>90</v>
      </c>
      <c r="D180" t="s">
        <v>35</v>
      </c>
      <c r="E180" t="s">
        <v>36</v>
      </c>
      <c r="F180" t="s">
        <v>37</v>
      </c>
      <c r="G180" t="s">
        <v>38</v>
      </c>
      <c r="H180" t="s">
        <v>327</v>
      </c>
      <c r="I180" t="s">
        <v>40</v>
      </c>
      <c r="J180">
        <v>5</v>
      </c>
      <c r="K180">
        <v>22712.18</v>
      </c>
      <c r="L180">
        <v>30</v>
      </c>
      <c r="M180">
        <v>113560.9</v>
      </c>
      <c r="N180">
        <v>93388.76</v>
      </c>
      <c r="O180">
        <v>20172.14</v>
      </c>
      <c r="P180" t="s">
        <v>113</v>
      </c>
      <c r="Q180">
        <v>3.9</v>
      </c>
      <c r="R180" t="s">
        <v>30</v>
      </c>
      <c r="S180" t="s">
        <v>87</v>
      </c>
      <c r="T180">
        <v>2025</v>
      </c>
    </row>
    <row r="181" spans="1:20" x14ac:dyDescent="0.3">
      <c r="A181" t="s">
        <v>445</v>
      </c>
      <c r="B181" t="s">
        <v>278</v>
      </c>
      <c r="C181" t="s">
        <v>168</v>
      </c>
      <c r="D181" t="s">
        <v>125</v>
      </c>
      <c r="E181" t="s">
        <v>126</v>
      </c>
      <c r="F181" t="s">
        <v>25</v>
      </c>
      <c r="G181" t="s">
        <v>111</v>
      </c>
      <c r="H181" t="s">
        <v>121</v>
      </c>
      <c r="I181" t="s">
        <v>112</v>
      </c>
      <c r="J181">
        <v>1</v>
      </c>
      <c r="K181">
        <v>27204.69</v>
      </c>
      <c r="L181">
        <v>10</v>
      </c>
      <c r="M181">
        <v>27204.69</v>
      </c>
      <c r="N181">
        <v>20665.05</v>
      </c>
      <c r="O181">
        <v>6539.64</v>
      </c>
      <c r="P181" t="s">
        <v>29</v>
      </c>
      <c r="Q181">
        <v>2.8</v>
      </c>
      <c r="R181" t="s">
        <v>30</v>
      </c>
      <c r="S181" t="s">
        <v>102</v>
      </c>
      <c r="T181">
        <v>2025</v>
      </c>
    </row>
    <row r="182" spans="1:20" x14ac:dyDescent="0.3">
      <c r="A182" t="s">
        <v>446</v>
      </c>
      <c r="B182" t="s">
        <v>447</v>
      </c>
      <c r="C182" t="s">
        <v>136</v>
      </c>
      <c r="D182" t="s">
        <v>35</v>
      </c>
      <c r="E182" t="s">
        <v>36</v>
      </c>
      <c r="F182" t="s">
        <v>25</v>
      </c>
      <c r="G182" t="s">
        <v>26</v>
      </c>
      <c r="H182" t="s">
        <v>27</v>
      </c>
      <c r="I182" t="s">
        <v>28</v>
      </c>
      <c r="J182">
        <v>1</v>
      </c>
      <c r="K182">
        <v>17353.47</v>
      </c>
      <c r="L182">
        <v>15</v>
      </c>
      <c r="M182">
        <v>17353.47</v>
      </c>
      <c r="N182">
        <v>14433.93</v>
      </c>
      <c r="O182">
        <v>2919.54</v>
      </c>
      <c r="P182" t="s">
        <v>122</v>
      </c>
      <c r="Q182">
        <v>2.6</v>
      </c>
      <c r="R182" t="s">
        <v>30</v>
      </c>
      <c r="S182" t="s">
        <v>42</v>
      </c>
      <c r="T182">
        <v>2024</v>
      </c>
    </row>
    <row r="183" spans="1:20" x14ac:dyDescent="0.3">
      <c r="A183" t="s">
        <v>448</v>
      </c>
      <c r="B183" t="s">
        <v>395</v>
      </c>
      <c r="C183" t="s">
        <v>97</v>
      </c>
      <c r="D183" t="s">
        <v>132</v>
      </c>
      <c r="E183" t="s">
        <v>158</v>
      </c>
      <c r="F183" t="s">
        <v>62</v>
      </c>
      <c r="G183" t="s">
        <v>71</v>
      </c>
      <c r="H183" t="s">
        <v>271</v>
      </c>
      <c r="I183" t="s">
        <v>143</v>
      </c>
      <c r="J183">
        <v>1</v>
      </c>
      <c r="K183">
        <v>44882.2</v>
      </c>
      <c r="L183">
        <v>10</v>
      </c>
      <c r="M183">
        <v>44882.2</v>
      </c>
      <c r="N183">
        <v>36583.51</v>
      </c>
      <c r="O183">
        <v>8298.69</v>
      </c>
      <c r="P183" t="s">
        <v>113</v>
      </c>
      <c r="Q183">
        <v>1.3</v>
      </c>
      <c r="R183" t="s">
        <v>30</v>
      </c>
      <c r="S183" t="s">
        <v>49</v>
      </c>
      <c r="T183">
        <v>2024</v>
      </c>
    </row>
    <row r="184" spans="1:20" x14ac:dyDescent="0.3">
      <c r="A184" t="s">
        <v>449</v>
      </c>
      <c r="B184" t="s">
        <v>450</v>
      </c>
      <c r="C184" t="s">
        <v>136</v>
      </c>
      <c r="D184" t="s">
        <v>69</v>
      </c>
      <c r="E184" t="s">
        <v>70</v>
      </c>
      <c r="F184" t="s">
        <v>62</v>
      </c>
      <c r="G184" t="s">
        <v>71</v>
      </c>
      <c r="H184" t="s">
        <v>271</v>
      </c>
      <c r="I184" t="s">
        <v>65</v>
      </c>
      <c r="J184">
        <v>3</v>
      </c>
      <c r="K184">
        <v>47002.720000000001</v>
      </c>
      <c r="L184">
        <v>10</v>
      </c>
      <c r="M184">
        <v>141008.16</v>
      </c>
      <c r="N184">
        <v>105849.17</v>
      </c>
      <c r="O184">
        <v>35158.99</v>
      </c>
      <c r="P184" t="s">
        <v>29</v>
      </c>
      <c r="Q184">
        <v>4.0999999999999996</v>
      </c>
      <c r="R184" t="s">
        <v>159</v>
      </c>
      <c r="S184" t="s">
        <v>94</v>
      </c>
      <c r="T184">
        <v>2024</v>
      </c>
    </row>
    <row r="185" spans="1:20" x14ac:dyDescent="0.3">
      <c r="A185" t="s">
        <v>451</v>
      </c>
      <c r="B185" t="s">
        <v>261</v>
      </c>
      <c r="C185" t="s">
        <v>168</v>
      </c>
      <c r="D185" t="s">
        <v>35</v>
      </c>
      <c r="E185" t="s">
        <v>36</v>
      </c>
      <c r="F185" t="s">
        <v>45</v>
      </c>
      <c r="G185" t="s">
        <v>46</v>
      </c>
      <c r="H185" t="s">
        <v>106</v>
      </c>
      <c r="I185" t="s">
        <v>101</v>
      </c>
      <c r="J185">
        <v>4</v>
      </c>
      <c r="K185">
        <v>33659.67</v>
      </c>
      <c r="L185">
        <v>5</v>
      </c>
      <c r="M185">
        <v>134638.68</v>
      </c>
      <c r="N185">
        <v>98680.02</v>
      </c>
      <c r="O185">
        <v>35958.660000000003</v>
      </c>
      <c r="P185" t="s">
        <v>73</v>
      </c>
      <c r="Q185">
        <v>3.3</v>
      </c>
      <c r="R185" t="s">
        <v>30</v>
      </c>
      <c r="S185" t="s">
        <v>78</v>
      </c>
      <c r="T185">
        <v>2024</v>
      </c>
    </row>
    <row r="186" spans="1:20" x14ac:dyDescent="0.3">
      <c r="A186" t="s">
        <v>452</v>
      </c>
      <c r="B186" t="s">
        <v>331</v>
      </c>
      <c r="C186" t="s">
        <v>200</v>
      </c>
      <c r="D186" t="s">
        <v>35</v>
      </c>
      <c r="E186" t="s">
        <v>36</v>
      </c>
      <c r="F186" t="s">
        <v>62</v>
      </c>
      <c r="G186" t="s">
        <v>71</v>
      </c>
      <c r="H186" t="s">
        <v>271</v>
      </c>
      <c r="I186" t="s">
        <v>143</v>
      </c>
      <c r="J186">
        <v>2</v>
      </c>
      <c r="K186">
        <v>13011.44</v>
      </c>
      <c r="L186">
        <v>5</v>
      </c>
      <c r="M186">
        <v>26022.880000000001</v>
      </c>
      <c r="N186">
        <v>21589.39</v>
      </c>
      <c r="O186">
        <v>4433.49</v>
      </c>
      <c r="P186" t="s">
        <v>73</v>
      </c>
      <c r="Q186">
        <v>4.9000000000000004</v>
      </c>
      <c r="R186" t="s">
        <v>30</v>
      </c>
      <c r="S186" t="s">
        <v>119</v>
      </c>
      <c r="T186">
        <v>2024</v>
      </c>
    </row>
    <row r="187" spans="1:20" x14ac:dyDescent="0.3">
      <c r="A187" t="s">
        <v>453</v>
      </c>
      <c r="B187" t="s">
        <v>305</v>
      </c>
      <c r="C187" t="s">
        <v>168</v>
      </c>
      <c r="D187" t="s">
        <v>69</v>
      </c>
      <c r="E187" t="s">
        <v>155</v>
      </c>
      <c r="F187" t="s">
        <v>54</v>
      </c>
      <c r="G187" t="s">
        <v>201</v>
      </c>
      <c r="H187" t="s">
        <v>117</v>
      </c>
      <c r="I187" t="s">
        <v>185</v>
      </c>
      <c r="J187">
        <v>3</v>
      </c>
      <c r="K187">
        <v>21990.25</v>
      </c>
      <c r="L187">
        <v>15</v>
      </c>
      <c r="M187">
        <v>65970.75</v>
      </c>
      <c r="N187">
        <v>52796.31</v>
      </c>
      <c r="O187">
        <v>13174.44</v>
      </c>
      <c r="P187" t="s">
        <v>73</v>
      </c>
      <c r="Q187">
        <v>4.2</v>
      </c>
      <c r="R187" t="s">
        <v>30</v>
      </c>
      <c r="S187" t="s">
        <v>87</v>
      </c>
      <c r="T187">
        <v>2025</v>
      </c>
    </row>
    <row r="188" spans="1:20" x14ac:dyDescent="0.3">
      <c r="A188" t="s">
        <v>454</v>
      </c>
      <c r="B188" t="s">
        <v>455</v>
      </c>
      <c r="C188" t="s">
        <v>136</v>
      </c>
      <c r="D188" t="s">
        <v>98</v>
      </c>
      <c r="E188" t="s">
        <v>99</v>
      </c>
      <c r="F188" t="s">
        <v>45</v>
      </c>
      <c r="G188" t="s">
        <v>46</v>
      </c>
      <c r="H188" t="s">
        <v>100</v>
      </c>
      <c r="I188" t="s">
        <v>48</v>
      </c>
      <c r="J188">
        <v>3</v>
      </c>
      <c r="K188">
        <v>1927.38</v>
      </c>
      <c r="L188">
        <v>15</v>
      </c>
      <c r="M188">
        <v>5782.14</v>
      </c>
      <c r="N188">
        <v>4898</v>
      </c>
      <c r="O188">
        <v>884.14</v>
      </c>
      <c r="P188" t="s">
        <v>29</v>
      </c>
      <c r="Q188">
        <v>2.9</v>
      </c>
      <c r="R188" t="s">
        <v>159</v>
      </c>
      <c r="S188" t="s">
        <v>162</v>
      </c>
      <c r="T188">
        <v>2024</v>
      </c>
    </row>
    <row r="189" spans="1:20" x14ac:dyDescent="0.3">
      <c r="A189" t="s">
        <v>456</v>
      </c>
      <c r="B189" t="s">
        <v>457</v>
      </c>
      <c r="C189" t="s">
        <v>34</v>
      </c>
      <c r="D189" t="s">
        <v>35</v>
      </c>
      <c r="E189" t="s">
        <v>36</v>
      </c>
      <c r="F189" t="s">
        <v>54</v>
      </c>
      <c r="G189" t="s">
        <v>201</v>
      </c>
      <c r="H189" t="s">
        <v>179</v>
      </c>
      <c r="I189" t="s">
        <v>296</v>
      </c>
      <c r="J189">
        <v>3</v>
      </c>
      <c r="K189">
        <v>21741.53</v>
      </c>
      <c r="L189">
        <v>10</v>
      </c>
      <c r="M189">
        <v>65224.59</v>
      </c>
      <c r="N189">
        <v>50024.49</v>
      </c>
      <c r="O189">
        <v>15200.1</v>
      </c>
      <c r="P189" t="s">
        <v>113</v>
      </c>
      <c r="Q189">
        <v>3.5</v>
      </c>
      <c r="R189" t="s">
        <v>30</v>
      </c>
      <c r="S189" t="s">
        <v>42</v>
      </c>
      <c r="T189">
        <v>2024</v>
      </c>
    </row>
    <row r="190" spans="1:20" x14ac:dyDescent="0.3">
      <c r="A190" t="s">
        <v>458</v>
      </c>
      <c r="B190" t="s">
        <v>295</v>
      </c>
      <c r="C190" t="s">
        <v>168</v>
      </c>
      <c r="D190" t="s">
        <v>81</v>
      </c>
      <c r="E190" t="s">
        <v>149</v>
      </c>
      <c r="F190" t="s">
        <v>37</v>
      </c>
      <c r="G190" t="s">
        <v>38</v>
      </c>
      <c r="H190" t="s">
        <v>77</v>
      </c>
      <c r="I190" t="s">
        <v>40</v>
      </c>
      <c r="J190">
        <v>1</v>
      </c>
      <c r="K190">
        <v>23638.720000000001</v>
      </c>
      <c r="L190">
        <v>15</v>
      </c>
      <c r="M190">
        <v>23638.720000000001</v>
      </c>
      <c r="N190">
        <v>18925.32</v>
      </c>
      <c r="O190">
        <v>4713.3999999999996</v>
      </c>
      <c r="P190" t="s">
        <v>122</v>
      </c>
      <c r="Q190">
        <v>1.5</v>
      </c>
      <c r="R190" t="s">
        <v>30</v>
      </c>
      <c r="S190" t="s">
        <v>31</v>
      </c>
      <c r="T190">
        <v>2024</v>
      </c>
    </row>
    <row r="191" spans="1:20" x14ac:dyDescent="0.3">
      <c r="A191" t="s">
        <v>459</v>
      </c>
      <c r="B191" t="s">
        <v>104</v>
      </c>
      <c r="C191" t="s">
        <v>61</v>
      </c>
      <c r="D191" t="s">
        <v>23</v>
      </c>
      <c r="E191" t="s">
        <v>24</v>
      </c>
      <c r="F191" t="s">
        <v>45</v>
      </c>
      <c r="G191" t="s">
        <v>46</v>
      </c>
      <c r="H191" t="s">
        <v>176</v>
      </c>
      <c r="I191" t="s">
        <v>169</v>
      </c>
      <c r="J191">
        <v>1</v>
      </c>
      <c r="K191">
        <v>39372.11</v>
      </c>
      <c r="L191">
        <v>10</v>
      </c>
      <c r="M191">
        <v>39372.11</v>
      </c>
      <c r="N191">
        <v>29939.54</v>
      </c>
      <c r="O191">
        <v>9432.57</v>
      </c>
      <c r="P191" t="s">
        <v>73</v>
      </c>
      <c r="Q191">
        <v>4.0999999999999996</v>
      </c>
      <c r="R191" t="s">
        <v>30</v>
      </c>
      <c r="S191" t="s">
        <v>107</v>
      </c>
      <c r="T191">
        <v>2024</v>
      </c>
    </row>
    <row r="192" spans="1:20" x14ac:dyDescent="0.3">
      <c r="A192" t="s">
        <v>460</v>
      </c>
      <c r="B192" t="s">
        <v>461</v>
      </c>
      <c r="C192" t="s">
        <v>80</v>
      </c>
      <c r="D192" t="s">
        <v>35</v>
      </c>
      <c r="E192" t="s">
        <v>36</v>
      </c>
      <c r="F192" t="s">
        <v>25</v>
      </c>
      <c r="G192" t="s">
        <v>26</v>
      </c>
      <c r="H192" t="s">
        <v>221</v>
      </c>
      <c r="I192" t="s">
        <v>112</v>
      </c>
      <c r="J192">
        <v>4</v>
      </c>
      <c r="K192">
        <v>49088.13</v>
      </c>
      <c r="L192">
        <v>5</v>
      </c>
      <c r="M192">
        <v>196352.52</v>
      </c>
      <c r="N192">
        <v>160588.91</v>
      </c>
      <c r="O192">
        <v>35763.61</v>
      </c>
      <c r="P192" t="s">
        <v>73</v>
      </c>
      <c r="Q192">
        <v>2.2999999999999998</v>
      </c>
      <c r="R192" t="s">
        <v>30</v>
      </c>
      <c r="S192" t="s">
        <v>94</v>
      </c>
      <c r="T192">
        <v>2024</v>
      </c>
    </row>
    <row r="193" spans="1:20" x14ac:dyDescent="0.3">
      <c r="A193" t="s">
        <v>462</v>
      </c>
      <c r="B193" t="s">
        <v>463</v>
      </c>
      <c r="C193" t="s">
        <v>116</v>
      </c>
      <c r="D193" t="s">
        <v>69</v>
      </c>
      <c r="E193" t="s">
        <v>155</v>
      </c>
      <c r="F193" t="s">
        <v>62</v>
      </c>
      <c r="G193" t="s">
        <v>71</v>
      </c>
      <c r="H193" t="s">
        <v>64</v>
      </c>
      <c r="I193" t="s">
        <v>65</v>
      </c>
      <c r="J193">
        <v>3</v>
      </c>
      <c r="K193">
        <v>4524.63</v>
      </c>
      <c r="L193">
        <v>25</v>
      </c>
      <c r="M193">
        <v>13573.89</v>
      </c>
      <c r="N193">
        <v>10249.64</v>
      </c>
      <c r="O193">
        <v>3324.25</v>
      </c>
      <c r="P193" t="s">
        <v>41</v>
      </c>
      <c r="Q193">
        <v>2.4</v>
      </c>
      <c r="R193" t="s">
        <v>30</v>
      </c>
      <c r="S193" t="s">
        <v>42</v>
      </c>
      <c r="T193">
        <v>2024</v>
      </c>
    </row>
    <row r="194" spans="1:20" x14ac:dyDescent="0.3">
      <c r="A194" t="s">
        <v>464</v>
      </c>
      <c r="B194" t="s">
        <v>465</v>
      </c>
      <c r="C194" t="s">
        <v>97</v>
      </c>
      <c r="D194" t="s">
        <v>52</v>
      </c>
      <c r="E194" t="s">
        <v>110</v>
      </c>
      <c r="F194" t="s">
        <v>37</v>
      </c>
      <c r="G194" t="s">
        <v>38</v>
      </c>
      <c r="H194" t="s">
        <v>77</v>
      </c>
      <c r="I194" t="s">
        <v>40</v>
      </c>
      <c r="J194">
        <v>3</v>
      </c>
      <c r="K194">
        <v>1507.01</v>
      </c>
      <c r="L194">
        <v>30</v>
      </c>
      <c r="M194">
        <v>4521.03</v>
      </c>
      <c r="N194">
        <v>3292.13</v>
      </c>
      <c r="O194">
        <v>1228.9000000000001</v>
      </c>
      <c r="P194" t="s">
        <v>144</v>
      </c>
      <c r="Q194">
        <v>2.5</v>
      </c>
      <c r="R194" t="s">
        <v>30</v>
      </c>
      <c r="S194" t="s">
        <v>162</v>
      </c>
      <c r="T194">
        <v>2024</v>
      </c>
    </row>
    <row r="195" spans="1:20" x14ac:dyDescent="0.3">
      <c r="A195" t="s">
        <v>466</v>
      </c>
      <c r="B195" t="s">
        <v>467</v>
      </c>
      <c r="C195" t="s">
        <v>200</v>
      </c>
      <c r="D195" t="s">
        <v>125</v>
      </c>
      <c r="E195" t="s">
        <v>139</v>
      </c>
      <c r="F195" t="s">
        <v>54</v>
      </c>
      <c r="G195" t="s">
        <v>91</v>
      </c>
      <c r="H195" t="s">
        <v>92</v>
      </c>
      <c r="I195" t="s">
        <v>185</v>
      </c>
      <c r="J195">
        <v>3</v>
      </c>
      <c r="K195">
        <v>39699.85</v>
      </c>
      <c r="L195">
        <v>20</v>
      </c>
      <c r="M195">
        <v>119099.55</v>
      </c>
      <c r="N195">
        <v>87819.47</v>
      </c>
      <c r="O195">
        <v>31280.080000000002</v>
      </c>
      <c r="P195" t="s">
        <v>73</v>
      </c>
      <c r="Q195">
        <v>3.9</v>
      </c>
      <c r="R195" t="s">
        <v>30</v>
      </c>
      <c r="S195" t="s">
        <v>49</v>
      </c>
      <c r="T195">
        <v>2024</v>
      </c>
    </row>
    <row r="196" spans="1:20" x14ac:dyDescent="0.3">
      <c r="A196" t="s">
        <v>468</v>
      </c>
      <c r="B196" t="s">
        <v>178</v>
      </c>
      <c r="C196" t="s">
        <v>34</v>
      </c>
      <c r="D196" t="s">
        <v>81</v>
      </c>
      <c r="E196" t="s">
        <v>149</v>
      </c>
      <c r="F196" t="s">
        <v>45</v>
      </c>
      <c r="G196" t="s">
        <v>46</v>
      </c>
      <c r="H196" t="s">
        <v>47</v>
      </c>
      <c r="I196" t="s">
        <v>48</v>
      </c>
      <c r="J196">
        <v>5</v>
      </c>
      <c r="K196">
        <v>37494.129999999997</v>
      </c>
      <c r="L196">
        <v>10</v>
      </c>
      <c r="M196">
        <v>187470.65</v>
      </c>
      <c r="N196">
        <v>133566.47</v>
      </c>
      <c r="O196">
        <v>53904.18</v>
      </c>
      <c r="P196" t="s">
        <v>113</v>
      </c>
      <c r="Q196">
        <v>1.8</v>
      </c>
      <c r="R196" t="s">
        <v>30</v>
      </c>
      <c r="S196" t="s">
        <v>74</v>
      </c>
      <c r="T196">
        <v>2024</v>
      </c>
    </row>
    <row r="197" spans="1:20" x14ac:dyDescent="0.3">
      <c r="A197" t="s">
        <v>469</v>
      </c>
      <c r="B197" t="s">
        <v>214</v>
      </c>
      <c r="C197" t="s">
        <v>61</v>
      </c>
      <c r="D197" t="s">
        <v>81</v>
      </c>
      <c r="E197" t="s">
        <v>128</v>
      </c>
      <c r="F197" t="s">
        <v>54</v>
      </c>
      <c r="G197" t="s">
        <v>91</v>
      </c>
      <c r="H197" t="s">
        <v>117</v>
      </c>
      <c r="I197" t="s">
        <v>118</v>
      </c>
      <c r="J197">
        <v>5</v>
      </c>
      <c r="K197">
        <v>5850.81</v>
      </c>
      <c r="L197">
        <v>20</v>
      </c>
      <c r="M197">
        <v>29254.05</v>
      </c>
      <c r="N197">
        <v>23186.38</v>
      </c>
      <c r="O197">
        <v>6067.67</v>
      </c>
      <c r="P197" t="s">
        <v>113</v>
      </c>
      <c r="Q197">
        <v>1.3</v>
      </c>
      <c r="R197" t="s">
        <v>30</v>
      </c>
      <c r="S197" t="s">
        <v>58</v>
      </c>
      <c r="T197">
        <v>2024</v>
      </c>
    </row>
    <row r="198" spans="1:20" x14ac:dyDescent="0.3">
      <c r="A198" t="s">
        <v>470</v>
      </c>
      <c r="B198" t="s">
        <v>471</v>
      </c>
      <c r="C198" t="s">
        <v>61</v>
      </c>
      <c r="D198" t="s">
        <v>69</v>
      </c>
      <c r="E198" t="s">
        <v>155</v>
      </c>
      <c r="F198" t="s">
        <v>25</v>
      </c>
      <c r="G198" t="s">
        <v>111</v>
      </c>
      <c r="H198" t="s">
        <v>235</v>
      </c>
      <c r="I198" t="s">
        <v>28</v>
      </c>
      <c r="J198">
        <v>4</v>
      </c>
      <c r="K198">
        <v>16448.740000000002</v>
      </c>
      <c r="L198">
        <v>15</v>
      </c>
      <c r="M198">
        <v>65794.960000000006</v>
      </c>
      <c r="N198">
        <v>47817.95</v>
      </c>
      <c r="O198">
        <v>17977.009999999998</v>
      </c>
      <c r="P198" t="s">
        <v>144</v>
      </c>
      <c r="Q198">
        <v>4.5999999999999996</v>
      </c>
      <c r="R198" t="s">
        <v>30</v>
      </c>
      <c r="S198" t="s">
        <v>31</v>
      </c>
      <c r="T198">
        <v>2024</v>
      </c>
    </row>
    <row r="199" spans="1:20" x14ac:dyDescent="0.3">
      <c r="A199" t="s">
        <v>472</v>
      </c>
      <c r="B199" t="s">
        <v>473</v>
      </c>
      <c r="C199" t="s">
        <v>80</v>
      </c>
      <c r="D199" t="s">
        <v>23</v>
      </c>
      <c r="E199" t="s">
        <v>24</v>
      </c>
      <c r="F199" t="s">
        <v>54</v>
      </c>
      <c r="G199" t="s">
        <v>55</v>
      </c>
      <c r="H199" t="s">
        <v>56</v>
      </c>
      <c r="I199" t="s">
        <v>118</v>
      </c>
      <c r="J199">
        <v>1</v>
      </c>
      <c r="K199">
        <v>11103.44</v>
      </c>
      <c r="L199">
        <v>15</v>
      </c>
      <c r="M199">
        <v>11103.44</v>
      </c>
      <c r="N199">
        <v>7319.03</v>
      </c>
      <c r="O199">
        <v>3784.41</v>
      </c>
      <c r="P199" t="s">
        <v>73</v>
      </c>
      <c r="Q199">
        <v>1.1000000000000001</v>
      </c>
      <c r="R199" t="s">
        <v>30</v>
      </c>
      <c r="S199" t="s">
        <v>49</v>
      </c>
      <c r="T199">
        <v>2024</v>
      </c>
    </row>
    <row r="200" spans="1:20" x14ac:dyDescent="0.3">
      <c r="A200" t="s">
        <v>474</v>
      </c>
      <c r="B200" t="s">
        <v>475</v>
      </c>
      <c r="C200" t="s">
        <v>80</v>
      </c>
      <c r="D200" t="s">
        <v>23</v>
      </c>
      <c r="E200" t="s">
        <v>24</v>
      </c>
      <c r="F200" t="s">
        <v>25</v>
      </c>
      <c r="G200" t="s">
        <v>26</v>
      </c>
      <c r="H200" t="s">
        <v>235</v>
      </c>
      <c r="I200" t="s">
        <v>112</v>
      </c>
      <c r="J200">
        <v>2</v>
      </c>
      <c r="K200">
        <v>34255.39</v>
      </c>
      <c r="L200">
        <v>15</v>
      </c>
      <c r="M200">
        <v>68510.78</v>
      </c>
      <c r="N200">
        <v>56712.99</v>
      </c>
      <c r="O200">
        <v>11797.79</v>
      </c>
      <c r="P200" t="s">
        <v>41</v>
      </c>
      <c r="Q200">
        <v>2.9</v>
      </c>
      <c r="R200" t="s">
        <v>30</v>
      </c>
      <c r="S200" t="s">
        <v>102</v>
      </c>
      <c r="T200">
        <v>2024</v>
      </c>
    </row>
    <row r="201" spans="1:20" x14ac:dyDescent="0.3">
      <c r="A201" t="s">
        <v>476</v>
      </c>
      <c r="B201" t="s">
        <v>477</v>
      </c>
      <c r="C201" t="s">
        <v>136</v>
      </c>
      <c r="D201" t="s">
        <v>81</v>
      </c>
      <c r="E201" t="s">
        <v>128</v>
      </c>
      <c r="F201" t="s">
        <v>54</v>
      </c>
      <c r="G201" t="s">
        <v>55</v>
      </c>
      <c r="H201" t="s">
        <v>56</v>
      </c>
      <c r="I201" t="s">
        <v>296</v>
      </c>
      <c r="J201">
        <v>2</v>
      </c>
      <c r="K201">
        <v>18304.18</v>
      </c>
      <c r="L201">
        <v>10</v>
      </c>
      <c r="M201">
        <v>36608.36</v>
      </c>
      <c r="N201">
        <v>24168.83</v>
      </c>
      <c r="O201">
        <v>12439.53</v>
      </c>
      <c r="P201" t="s">
        <v>29</v>
      </c>
      <c r="Q201">
        <v>1.6</v>
      </c>
      <c r="R201" t="s">
        <v>30</v>
      </c>
      <c r="S201" t="s">
        <v>31</v>
      </c>
      <c r="T201">
        <v>2024</v>
      </c>
    </row>
    <row r="202" spans="1:20" x14ac:dyDescent="0.3">
      <c r="A202" t="s">
        <v>478</v>
      </c>
      <c r="B202" t="s">
        <v>479</v>
      </c>
      <c r="C202" t="s">
        <v>168</v>
      </c>
      <c r="D202" t="s">
        <v>23</v>
      </c>
      <c r="E202" t="s">
        <v>24</v>
      </c>
      <c r="F202" t="s">
        <v>62</v>
      </c>
      <c r="G202" t="s">
        <v>63</v>
      </c>
      <c r="H202" t="s">
        <v>83</v>
      </c>
      <c r="I202" t="s">
        <v>65</v>
      </c>
      <c r="J202">
        <v>2</v>
      </c>
      <c r="K202">
        <v>12771.91</v>
      </c>
      <c r="L202">
        <v>30</v>
      </c>
      <c r="M202">
        <v>25543.82</v>
      </c>
      <c r="N202">
        <v>19802.22</v>
      </c>
      <c r="O202">
        <v>5741.6</v>
      </c>
      <c r="P202" t="s">
        <v>73</v>
      </c>
      <c r="Q202">
        <v>3.2</v>
      </c>
      <c r="R202" t="s">
        <v>30</v>
      </c>
      <c r="S202" t="s">
        <v>78</v>
      </c>
      <c r="T202">
        <v>2024</v>
      </c>
    </row>
    <row r="203" spans="1:20" x14ac:dyDescent="0.3">
      <c r="A203" t="s">
        <v>480</v>
      </c>
      <c r="B203" t="s">
        <v>190</v>
      </c>
      <c r="C203" t="s">
        <v>136</v>
      </c>
      <c r="D203" t="s">
        <v>35</v>
      </c>
      <c r="E203" t="s">
        <v>36</v>
      </c>
      <c r="F203" t="s">
        <v>25</v>
      </c>
      <c r="G203" t="s">
        <v>26</v>
      </c>
      <c r="H203" t="s">
        <v>121</v>
      </c>
      <c r="I203" t="s">
        <v>28</v>
      </c>
      <c r="J203">
        <v>2</v>
      </c>
      <c r="K203">
        <v>2275.09</v>
      </c>
      <c r="L203">
        <v>30</v>
      </c>
      <c r="M203">
        <v>4550.18</v>
      </c>
      <c r="N203">
        <v>3692.91</v>
      </c>
      <c r="O203">
        <v>857.27</v>
      </c>
      <c r="P203" t="s">
        <v>29</v>
      </c>
      <c r="Q203">
        <v>1.5</v>
      </c>
      <c r="R203" t="s">
        <v>30</v>
      </c>
      <c r="S203" t="s">
        <v>119</v>
      </c>
      <c r="T203">
        <v>2024</v>
      </c>
    </row>
    <row r="204" spans="1:20" x14ac:dyDescent="0.3">
      <c r="A204" t="s">
        <v>481</v>
      </c>
      <c r="B204" t="s">
        <v>482</v>
      </c>
      <c r="C204" t="s">
        <v>136</v>
      </c>
      <c r="D204" t="s">
        <v>52</v>
      </c>
      <c r="E204" t="s">
        <v>53</v>
      </c>
      <c r="F204" t="s">
        <v>37</v>
      </c>
      <c r="G204" t="s">
        <v>38</v>
      </c>
      <c r="H204" t="s">
        <v>77</v>
      </c>
      <c r="I204" t="s">
        <v>40</v>
      </c>
      <c r="J204">
        <v>4</v>
      </c>
      <c r="K204">
        <v>16468.59</v>
      </c>
      <c r="L204">
        <v>5</v>
      </c>
      <c r="M204">
        <v>65874.36</v>
      </c>
      <c r="N204">
        <v>49606.38</v>
      </c>
      <c r="O204">
        <v>16267.98</v>
      </c>
      <c r="P204" t="s">
        <v>144</v>
      </c>
      <c r="Q204">
        <v>4.5</v>
      </c>
      <c r="R204" t="s">
        <v>30</v>
      </c>
      <c r="S204" t="s">
        <v>74</v>
      </c>
      <c r="T204">
        <v>2024</v>
      </c>
    </row>
    <row r="205" spans="1:20" x14ac:dyDescent="0.3">
      <c r="A205" t="s">
        <v>483</v>
      </c>
      <c r="B205" t="s">
        <v>484</v>
      </c>
      <c r="C205" t="s">
        <v>136</v>
      </c>
      <c r="D205" t="s">
        <v>23</v>
      </c>
      <c r="E205" t="s">
        <v>24</v>
      </c>
      <c r="F205" t="s">
        <v>62</v>
      </c>
      <c r="G205" t="s">
        <v>71</v>
      </c>
      <c r="H205" t="s">
        <v>64</v>
      </c>
      <c r="I205" t="s">
        <v>65</v>
      </c>
      <c r="J205">
        <v>3</v>
      </c>
      <c r="K205">
        <v>4934.99</v>
      </c>
      <c r="L205">
        <v>25</v>
      </c>
      <c r="M205">
        <v>14804.97</v>
      </c>
      <c r="N205">
        <v>9981.39</v>
      </c>
      <c r="O205">
        <v>4823.58</v>
      </c>
      <c r="P205" t="s">
        <v>122</v>
      </c>
      <c r="Q205">
        <v>4.5999999999999996</v>
      </c>
      <c r="R205" t="s">
        <v>159</v>
      </c>
      <c r="S205" t="s">
        <v>74</v>
      </c>
      <c r="T205">
        <v>2024</v>
      </c>
    </row>
    <row r="206" spans="1:20" x14ac:dyDescent="0.3">
      <c r="A206" t="s">
        <v>485</v>
      </c>
      <c r="B206" t="s">
        <v>486</v>
      </c>
      <c r="C206" t="s">
        <v>97</v>
      </c>
      <c r="D206" t="s">
        <v>98</v>
      </c>
      <c r="E206" t="s">
        <v>99</v>
      </c>
      <c r="F206" t="s">
        <v>62</v>
      </c>
      <c r="G206" t="s">
        <v>71</v>
      </c>
      <c r="H206" t="s">
        <v>83</v>
      </c>
      <c r="I206" t="s">
        <v>165</v>
      </c>
      <c r="J206">
        <v>5</v>
      </c>
      <c r="K206">
        <v>5258.29</v>
      </c>
      <c r="L206">
        <v>20</v>
      </c>
      <c r="M206">
        <v>26291.45</v>
      </c>
      <c r="N206">
        <v>19770.759999999998</v>
      </c>
      <c r="O206">
        <v>6520.69</v>
      </c>
      <c r="P206" t="s">
        <v>73</v>
      </c>
      <c r="Q206">
        <v>2.5</v>
      </c>
      <c r="R206" t="s">
        <v>30</v>
      </c>
      <c r="S206" t="s">
        <v>162</v>
      </c>
      <c r="T206">
        <v>2024</v>
      </c>
    </row>
    <row r="207" spans="1:20" x14ac:dyDescent="0.3">
      <c r="A207" t="s">
        <v>487</v>
      </c>
      <c r="B207" t="s">
        <v>488</v>
      </c>
      <c r="C207" t="s">
        <v>61</v>
      </c>
      <c r="D207" t="s">
        <v>81</v>
      </c>
      <c r="E207" t="s">
        <v>82</v>
      </c>
      <c r="F207" t="s">
        <v>45</v>
      </c>
      <c r="G207" t="s">
        <v>105</v>
      </c>
      <c r="H207" t="s">
        <v>176</v>
      </c>
      <c r="I207" t="s">
        <v>101</v>
      </c>
      <c r="J207">
        <v>5</v>
      </c>
      <c r="K207">
        <v>32580</v>
      </c>
      <c r="L207">
        <v>15</v>
      </c>
      <c r="M207">
        <v>162900</v>
      </c>
      <c r="N207">
        <v>130218.46</v>
      </c>
      <c r="O207">
        <v>32681.54</v>
      </c>
      <c r="P207" t="s">
        <v>113</v>
      </c>
      <c r="Q207">
        <v>2.7</v>
      </c>
      <c r="R207" t="s">
        <v>159</v>
      </c>
      <c r="S207" t="s">
        <v>94</v>
      </c>
      <c r="T207">
        <v>2024</v>
      </c>
    </row>
    <row r="208" spans="1:20" x14ac:dyDescent="0.3">
      <c r="A208" t="s">
        <v>489</v>
      </c>
      <c r="B208" t="s">
        <v>368</v>
      </c>
      <c r="C208" t="s">
        <v>90</v>
      </c>
      <c r="D208" t="s">
        <v>52</v>
      </c>
      <c r="E208" t="s">
        <v>53</v>
      </c>
      <c r="F208" t="s">
        <v>62</v>
      </c>
      <c r="G208" t="s">
        <v>71</v>
      </c>
      <c r="H208" t="s">
        <v>271</v>
      </c>
      <c r="I208" t="s">
        <v>165</v>
      </c>
      <c r="J208">
        <v>1</v>
      </c>
      <c r="K208">
        <v>40298.9</v>
      </c>
      <c r="L208">
        <v>20</v>
      </c>
      <c r="M208">
        <v>40298.9</v>
      </c>
      <c r="N208">
        <v>28080.82</v>
      </c>
      <c r="O208">
        <v>12218.08</v>
      </c>
      <c r="P208" t="s">
        <v>29</v>
      </c>
      <c r="Q208">
        <v>1.2</v>
      </c>
      <c r="R208" t="s">
        <v>30</v>
      </c>
      <c r="S208" t="s">
        <v>119</v>
      </c>
      <c r="T208">
        <v>2024</v>
      </c>
    </row>
    <row r="209" spans="1:20" x14ac:dyDescent="0.3">
      <c r="A209" t="s">
        <v>490</v>
      </c>
      <c r="B209" t="s">
        <v>491</v>
      </c>
      <c r="C209" t="s">
        <v>61</v>
      </c>
      <c r="D209" t="s">
        <v>35</v>
      </c>
      <c r="E209" t="s">
        <v>36</v>
      </c>
      <c r="F209" t="s">
        <v>54</v>
      </c>
      <c r="G209" t="s">
        <v>201</v>
      </c>
      <c r="H209" t="s">
        <v>92</v>
      </c>
      <c r="I209" t="s">
        <v>57</v>
      </c>
      <c r="J209">
        <v>3</v>
      </c>
      <c r="K209">
        <v>11236.19</v>
      </c>
      <c r="L209">
        <v>5</v>
      </c>
      <c r="M209">
        <v>33708.57</v>
      </c>
      <c r="N209">
        <v>26779.57</v>
      </c>
      <c r="O209">
        <v>6929</v>
      </c>
      <c r="P209" t="s">
        <v>113</v>
      </c>
      <c r="Q209">
        <v>2.6</v>
      </c>
      <c r="R209" t="s">
        <v>30</v>
      </c>
      <c r="S209" t="s">
        <v>58</v>
      </c>
      <c r="T209">
        <v>2024</v>
      </c>
    </row>
    <row r="210" spans="1:20" x14ac:dyDescent="0.3">
      <c r="A210" t="s">
        <v>492</v>
      </c>
      <c r="B210" t="s">
        <v>379</v>
      </c>
      <c r="C210" t="s">
        <v>80</v>
      </c>
      <c r="D210" t="s">
        <v>52</v>
      </c>
      <c r="E210" t="s">
        <v>53</v>
      </c>
      <c r="F210" t="s">
        <v>25</v>
      </c>
      <c r="G210" t="s">
        <v>111</v>
      </c>
      <c r="H210" t="s">
        <v>235</v>
      </c>
      <c r="I210" t="s">
        <v>112</v>
      </c>
      <c r="J210">
        <v>5</v>
      </c>
      <c r="K210">
        <v>32537.46</v>
      </c>
      <c r="L210">
        <v>30</v>
      </c>
      <c r="M210">
        <v>162687.29999999999</v>
      </c>
      <c r="N210">
        <v>111578.94</v>
      </c>
      <c r="O210">
        <v>51108.36</v>
      </c>
      <c r="P210" t="s">
        <v>41</v>
      </c>
      <c r="Q210">
        <v>3.4</v>
      </c>
      <c r="R210" t="s">
        <v>30</v>
      </c>
      <c r="S210" t="s">
        <v>74</v>
      </c>
      <c r="T210">
        <v>2024</v>
      </c>
    </row>
    <row r="211" spans="1:20" x14ac:dyDescent="0.3">
      <c r="A211" t="s">
        <v>493</v>
      </c>
      <c r="B211" t="s">
        <v>467</v>
      </c>
      <c r="C211" t="s">
        <v>34</v>
      </c>
      <c r="D211" t="s">
        <v>52</v>
      </c>
      <c r="E211" t="s">
        <v>110</v>
      </c>
      <c r="F211" t="s">
        <v>37</v>
      </c>
      <c r="G211" t="s">
        <v>38</v>
      </c>
      <c r="H211" t="s">
        <v>39</v>
      </c>
      <c r="I211" t="s">
        <v>40</v>
      </c>
      <c r="J211">
        <v>1</v>
      </c>
      <c r="K211">
        <v>6953.88</v>
      </c>
      <c r="L211">
        <v>5</v>
      </c>
      <c r="M211">
        <v>6953.88</v>
      </c>
      <c r="N211">
        <v>5825.02</v>
      </c>
      <c r="O211">
        <v>1128.8599999999999</v>
      </c>
      <c r="P211" t="s">
        <v>41</v>
      </c>
      <c r="Q211">
        <v>2.9</v>
      </c>
      <c r="R211" t="s">
        <v>30</v>
      </c>
      <c r="S211" t="s">
        <v>49</v>
      </c>
      <c r="T211">
        <v>2024</v>
      </c>
    </row>
    <row r="212" spans="1:20" x14ac:dyDescent="0.3">
      <c r="A212" t="s">
        <v>494</v>
      </c>
      <c r="B212" t="s">
        <v>495</v>
      </c>
      <c r="C212" t="s">
        <v>168</v>
      </c>
      <c r="D212" t="s">
        <v>69</v>
      </c>
      <c r="E212" t="s">
        <v>155</v>
      </c>
      <c r="F212" t="s">
        <v>62</v>
      </c>
      <c r="G212" t="s">
        <v>63</v>
      </c>
      <c r="H212" t="s">
        <v>152</v>
      </c>
      <c r="I212" t="s">
        <v>143</v>
      </c>
      <c r="J212">
        <v>3</v>
      </c>
      <c r="K212">
        <v>32824.050000000003</v>
      </c>
      <c r="L212">
        <v>25</v>
      </c>
      <c r="M212">
        <v>98472.15</v>
      </c>
      <c r="N212">
        <v>79756.73</v>
      </c>
      <c r="O212">
        <v>18715.419999999998</v>
      </c>
      <c r="P212" t="s">
        <v>122</v>
      </c>
      <c r="Q212">
        <v>3.6</v>
      </c>
      <c r="R212" t="s">
        <v>66</v>
      </c>
      <c r="S212" t="s">
        <v>31</v>
      </c>
      <c r="T212">
        <v>2024</v>
      </c>
    </row>
    <row r="213" spans="1:20" x14ac:dyDescent="0.3">
      <c r="A213" t="s">
        <v>496</v>
      </c>
      <c r="B213" t="s">
        <v>497</v>
      </c>
      <c r="C213" t="s">
        <v>168</v>
      </c>
      <c r="D213" t="s">
        <v>98</v>
      </c>
      <c r="E213" t="s">
        <v>99</v>
      </c>
      <c r="F213" t="s">
        <v>37</v>
      </c>
      <c r="G213" t="s">
        <v>38</v>
      </c>
      <c r="H213" t="s">
        <v>77</v>
      </c>
      <c r="I213" t="s">
        <v>40</v>
      </c>
      <c r="J213">
        <v>3</v>
      </c>
      <c r="K213">
        <v>34459.99</v>
      </c>
      <c r="L213">
        <v>5</v>
      </c>
      <c r="M213">
        <v>103379.97</v>
      </c>
      <c r="N213">
        <v>70294.070000000007</v>
      </c>
      <c r="O213">
        <v>33085.9</v>
      </c>
      <c r="P213" t="s">
        <v>29</v>
      </c>
      <c r="Q213">
        <v>1.4</v>
      </c>
      <c r="R213" t="s">
        <v>30</v>
      </c>
      <c r="S213" t="s">
        <v>74</v>
      </c>
      <c r="T213">
        <v>2024</v>
      </c>
    </row>
    <row r="214" spans="1:20" x14ac:dyDescent="0.3">
      <c r="A214" t="s">
        <v>498</v>
      </c>
      <c r="B214" t="s">
        <v>499</v>
      </c>
      <c r="C214" t="s">
        <v>136</v>
      </c>
      <c r="D214" t="s">
        <v>23</v>
      </c>
      <c r="E214" t="s">
        <v>24</v>
      </c>
      <c r="F214" t="s">
        <v>25</v>
      </c>
      <c r="G214" t="s">
        <v>111</v>
      </c>
      <c r="H214" t="s">
        <v>27</v>
      </c>
      <c r="I214" t="s">
        <v>28</v>
      </c>
      <c r="J214">
        <v>3</v>
      </c>
      <c r="K214">
        <v>13608.58</v>
      </c>
      <c r="L214">
        <v>10</v>
      </c>
      <c r="M214">
        <v>40825.74</v>
      </c>
      <c r="N214">
        <v>28865.01</v>
      </c>
      <c r="O214">
        <v>11960.73</v>
      </c>
      <c r="P214" t="s">
        <v>41</v>
      </c>
      <c r="Q214">
        <v>4.5999999999999996</v>
      </c>
      <c r="R214" t="s">
        <v>30</v>
      </c>
      <c r="S214" t="s">
        <v>107</v>
      </c>
      <c r="T214">
        <v>2024</v>
      </c>
    </row>
    <row r="215" spans="1:20" x14ac:dyDescent="0.3">
      <c r="A215" t="s">
        <v>500</v>
      </c>
      <c r="B215" t="s">
        <v>248</v>
      </c>
      <c r="C215" t="s">
        <v>61</v>
      </c>
      <c r="D215" t="s">
        <v>23</v>
      </c>
      <c r="E215" t="s">
        <v>24</v>
      </c>
      <c r="F215" t="s">
        <v>62</v>
      </c>
      <c r="G215" t="s">
        <v>71</v>
      </c>
      <c r="H215" t="s">
        <v>72</v>
      </c>
      <c r="I215" t="s">
        <v>65</v>
      </c>
      <c r="J215">
        <v>2</v>
      </c>
      <c r="K215">
        <v>32630.83</v>
      </c>
      <c r="L215">
        <v>30</v>
      </c>
      <c r="M215">
        <v>65261.66</v>
      </c>
      <c r="N215">
        <v>42484.73</v>
      </c>
      <c r="O215">
        <v>22776.93</v>
      </c>
      <c r="P215" t="s">
        <v>41</v>
      </c>
      <c r="Q215">
        <v>4.7</v>
      </c>
      <c r="R215" t="s">
        <v>66</v>
      </c>
      <c r="S215" t="s">
        <v>42</v>
      </c>
      <c r="T215">
        <v>2024</v>
      </c>
    </row>
    <row r="216" spans="1:20" x14ac:dyDescent="0.3">
      <c r="A216" t="s">
        <v>501</v>
      </c>
      <c r="B216" t="s">
        <v>502</v>
      </c>
      <c r="C216" t="s">
        <v>136</v>
      </c>
      <c r="D216" t="s">
        <v>125</v>
      </c>
      <c r="E216" t="s">
        <v>139</v>
      </c>
      <c r="F216" t="s">
        <v>54</v>
      </c>
      <c r="G216" t="s">
        <v>91</v>
      </c>
      <c r="H216" t="s">
        <v>179</v>
      </c>
      <c r="I216" t="s">
        <v>93</v>
      </c>
      <c r="J216">
        <v>4</v>
      </c>
      <c r="K216">
        <v>24818.77</v>
      </c>
      <c r="L216">
        <v>15</v>
      </c>
      <c r="M216">
        <v>99275.08</v>
      </c>
      <c r="N216">
        <v>83754.73</v>
      </c>
      <c r="O216">
        <v>15520.35</v>
      </c>
      <c r="P216" t="s">
        <v>29</v>
      </c>
      <c r="Q216">
        <v>2.2999999999999998</v>
      </c>
      <c r="R216" t="s">
        <v>30</v>
      </c>
      <c r="S216" t="s">
        <v>58</v>
      </c>
      <c r="T216">
        <v>2024</v>
      </c>
    </row>
    <row r="217" spans="1:20" x14ac:dyDescent="0.3">
      <c r="A217" t="s">
        <v>503</v>
      </c>
      <c r="B217" t="s">
        <v>504</v>
      </c>
      <c r="C217" t="s">
        <v>200</v>
      </c>
      <c r="D217" t="s">
        <v>35</v>
      </c>
      <c r="E217" t="s">
        <v>36</v>
      </c>
      <c r="F217" t="s">
        <v>25</v>
      </c>
      <c r="G217" t="s">
        <v>26</v>
      </c>
      <c r="H217" t="s">
        <v>129</v>
      </c>
      <c r="I217" t="s">
        <v>28</v>
      </c>
      <c r="J217">
        <v>3</v>
      </c>
      <c r="K217">
        <v>36645.35</v>
      </c>
      <c r="L217">
        <v>20</v>
      </c>
      <c r="M217">
        <v>109936.05</v>
      </c>
      <c r="N217">
        <v>92177.16</v>
      </c>
      <c r="O217">
        <v>17758.89</v>
      </c>
      <c r="P217" t="s">
        <v>29</v>
      </c>
      <c r="Q217">
        <v>2.5</v>
      </c>
      <c r="R217" t="s">
        <v>159</v>
      </c>
      <c r="S217" t="s">
        <v>42</v>
      </c>
      <c r="T217">
        <v>2024</v>
      </c>
    </row>
    <row r="218" spans="1:20" x14ac:dyDescent="0.3">
      <c r="A218" t="s">
        <v>505</v>
      </c>
      <c r="B218" t="s">
        <v>506</v>
      </c>
      <c r="C218" t="s">
        <v>136</v>
      </c>
      <c r="D218" t="s">
        <v>69</v>
      </c>
      <c r="E218" t="s">
        <v>70</v>
      </c>
      <c r="F218" t="s">
        <v>37</v>
      </c>
      <c r="G218" t="s">
        <v>38</v>
      </c>
      <c r="H218" t="s">
        <v>39</v>
      </c>
      <c r="I218" t="s">
        <v>40</v>
      </c>
      <c r="J218">
        <v>3</v>
      </c>
      <c r="K218">
        <v>25668.959999999999</v>
      </c>
      <c r="L218">
        <v>5</v>
      </c>
      <c r="M218">
        <v>77006.880000000005</v>
      </c>
      <c r="N218">
        <v>63595.24</v>
      </c>
      <c r="O218">
        <v>13411.64</v>
      </c>
      <c r="P218" t="s">
        <v>29</v>
      </c>
      <c r="Q218">
        <v>4.8</v>
      </c>
      <c r="R218" t="s">
        <v>30</v>
      </c>
      <c r="S218" t="s">
        <v>119</v>
      </c>
      <c r="T218">
        <v>2024</v>
      </c>
    </row>
    <row r="219" spans="1:20" x14ac:dyDescent="0.3">
      <c r="A219" t="s">
        <v>507</v>
      </c>
      <c r="B219" t="s">
        <v>508</v>
      </c>
      <c r="C219" t="s">
        <v>34</v>
      </c>
      <c r="D219" t="s">
        <v>69</v>
      </c>
      <c r="E219" t="s">
        <v>70</v>
      </c>
      <c r="F219" t="s">
        <v>37</v>
      </c>
      <c r="G219" t="s">
        <v>38</v>
      </c>
      <c r="H219" t="s">
        <v>327</v>
      </c>
      <c r="I219" t="s">
        <v>40</v>
      </c>
      <c r="J219">
        <v>4</v>
      </c>
      <c r="K219">
        <v>44241.68</v>
      </c>
      <c r="L219">
        <v>25</v>
      </c>
      <c r="M219">
        <v>176966.72</v>
      </c>
      <c r="N219">
        <v>138252.31</v>
      </c>
      <c r="O219">
        <v>38714.410000000003</v>
      </c>
      <c r="P219" t="s">
        <v>113</v>
      </c>
      <c r="Q219">
        <v>1.4</v>
      </c>
      <c r="R219" t="s">
        <v>159</v>
      </c>
      <c r="S219" t="s">
        <v>31</v>
      </c>
      <c r="T219">
        <v>2024</v>
      </c>
    </row>
    <row r="220" spans="1:20" x14ac:dyDescent="0.3">
      <c r="A220" t="s">
        <v>509</v>
      </c>
      <c r="B220" t="s">
        <v>510</v>
      </c>
      <c r="C220" t="s">
        <v>61</v>
      </c>
      <c r="D220" t="s">
        <v>23</v>
      </c>
      <c r="E220" t="s">
        <v>24</v>
      </c>
      <c r="F220" t="s">
        <v>54</v>
      </c>
      <c r="G220" t="s">
        <v>228</v>
      </c>
      <c r="H220" t="s">
        <v>91</v>
      </c>
      <c r="I220" t="s">
        <v>93</v>
      </c>
      <c r="J220">
        <v>1</v>
      </c>
      <c r="K220">
        <v>39749.19</v>
      </c>
      <c r="L220">
        <v>30</v>
      </c>
      <c r="M220">
        <v>39749.19</v>
      </c>
      <c r="N220">
        <v>33409.26</v>
      </c>
      <c r="O220">
        <v>6339.93</v>
      </c>
      <c r="P220" t="s">
        <v>113</v>
      </c>
      <c r="Q220">
        <v>3.5</v>
      </c>
      <c r="R220" t="s">
        <v>30</v>
      </c>
      <c r="S220" t="s">
        <v>78</v>
      </c>
      <c r="T220">
        <v>2024</v>
      </c>
    </row>
    <row r="221" spans="1:20" x14ac:dyDescent="0.3">
      <c r="A221" t="s">
        <v>511</v>
      </c>
      <c r="B221" t="s">
        <v>506</v>
      </c>
      <c r="C221" t="s">
        <v>200</v>
      </c>
      <c r="D221" t="s">
        <v>69</v>
      </c>
      <c r="E221" t="s">
        <v>70</v>
      </c>
      <c r="F221" t="s">
        <v>54</v>
      </c>
      <c r="G221" t="s">
        <v>91</v>
      </c>
      <c r="H221" t="s">
        <v>92</v>
      </c>
      <c r="I221" t="s">
        <v>57</v>
      </c>
      <c r="J221">
        <v>2</v>
      </c>
      <c r="K221">
        <v>37578.46</v>
      </c>
      <c r="L221">
        <v>30</v>
      </c>
      <c r="M221">
        <v>75156.92</v>
      </c>
      <c r="N221">
        <v>62581.45</v>
      </c>
      <c r="O221">
        <v>12575.47</v>
      </c>
      <c r="P221" t="s">
        <v>144</v>
      </c>
      <c r="Q221">
        <v>4.4000000000000004</v>
      </c>
      <c r="R221" t="s">
        <v>159</v>
      </c>
      <c r="S221" t="s">
        <v>119</v>
      </c>
      <c r="T221">
        <v>2024</v>
      </c>
    </row>
    <row r="222" spans="1:20" x14ac:dyDescent="0.3">
      <c r="A222" t="s">
        <v>512</v>
      </c>
      <c r="B222" t="s">
        <v>467</v>
      </c>
      <c r="C222" t="s">
        <v>200</v>
      </c>
      <c r="D222" t="s">
        <v>69</v>
      </c>
      <c r="E222" t="s">
        <v>70</v>
      </c>
      <c r="F222" t="s">
        <v>54</v>
      </c>
      <c r="G222" t="s">
        <v>55</v>
      </c>
      <c r="H222" t="s">
        <v>117</v>
      </c>
      <c r="I222" t="s">
        <v>296</v>
      </c>
      <c r="J222">
        <v>4</v>
      </c>
      <c r="K222">
        <v>37203.65</v>
      </c>
      <c r="L222">
        <v>20</v>
      </c>
      <c r="M222">
        <v>148814.6</v>
      </c>
      <c r="N222">
        <v>99132.82</v>
      </c>
      <c r="O222">
        <v>49681.78</v>
      </c>
      <c r="P222" t="s">
        <v>73</v>
      </c>
      <c r="Q222">
        <v>3.5</v>
      </c>
      <c r="R222" t="s">
        <v>30</v>
      </c>
      <c r="S222" t="s">
        <v>49</v>
      </c>
      <c r="T222">
        <v>2024</v>
      </c>
    </row>
    <row r="223" spans="1:20" x14ac:dyDescent="0.3">
      <c r="A223" t="s">
        <v>513</v>
      </c>
      <c r="B223" t="s">
        <v>467</v>
      </c>
      <c r="C223" t="s">
        <v>34</v>
      </c>
      <c r="D223" t="s">
        <v>81</v>
      </c>
      <c r="E223" t="s">
        <v>128</v>
      </c>
      <c r="F223" t="s">
        <v>25</v>
      </c>
      <c r="G223" t="s">
        <v>111</v>
      </c>
      <c r="H223" t="s">
        <v>235</v>
      </c>
      <c r="I223" t="s">
        <v>112</v>
      </c>
      <c r="J223">
        <v>1</v>
      </c>
      <c r="K223">
        <v>22851.63</v>
      </c>
      <c r="L223">
        <v>25</v>
      </c>
      <c r="M223">
        <v>22851.63</v>
      </c>
      <c r="N223">
        <v>17677.14</v>
      </c>
      <c r="O223">
        <v>5174.49</v>
      </c>
      <c r="P223" t="s">
        <v>73</v>
      </c>
      <c r="Q223">
        <v>1</v>
      </c>
      <c r="R223" t="s">
        <v>30</v>
      </c>
      <c r="S223" t="s">
        <v>49</v>
      </c>
      <c r="T223">
        <v>2024</v>
      </c>
    </row>
    <row r="224" spans="1:20" x14ac:dyDescent="0.3">
      <c r="A224" t="s">
        <v>514</v>
      </c>
      <c r="B224" t="s">
        <v>124</v>
      </c>
      <c r="C224" t="s">
        <v>200</v>
      </c>
      <c r="D224" t="s">
        <v>35</v>
      </c>
      <c r="E224" t="s">
        <v>36</v>
      </c>
      <c r="F224" t="s">
        <v>45</v>
      </c>
      <c r="G224" t="s">
        <v>105</v>
      </c>
      <c r="H224" t="s">
        <v>176</v>
      </c>
      <c r="I224" t="s">
        <v>101</v>
      </c>
      <c r="J224">
        <v>4</v>
      </c>
      <c r="K224">
        <v>27627.84</v>
      </c>
      <c r="L224">
        <v>10</v>
      </c>
      <c r="M224">
        <v>110511.36</v>
      </c>
      <c r="N224">
        <v>92354.78</v>
      </c>
      <c r="O224">
        <v>18156.580000000002</v>
      </c>
      <c r="P224" t="s">
        <v>41</v>
      </c>
      <c r="Q224">
        <v>1.8</v>
      </c>
      <c r="R224" t="s">
        <v>30</v>
      </c>
      <c r="S224" t="s">
        <v>94</v>
      </c>
      <c r="T224">
        <v>2024</v>
      </c>
    </row>
    <row r="225" spans="1:20" x14ac:dyDescent="0.3">
      <c r="A225" t="s">
        <v>515</v>
      </c>
      <c r="B225" t="s">
        <v>397</v>
      </c>
      <c r="C225" t="s">
        <v>97</v>
      </c>
      <c r="D225" t="s">
        <v>35</v>
      </c>
      <c r="E225" t="s">
        <v>36</v>
      </c>
      <c r="F225" t="s">
        <v>25</v>
      </c>
      <c r="G225" t="s">
        <v>26</v>
      </c>
      <c r="H225" t="s">
        <v>235</v>
      </c>
      <c r="I225" t="s">
        <v>28</v>
      </c>
      <c r="J225">
        <v>3</v>
      </c>
      <c r="K225">
        <v>31333.95</v>
      </c>
      <c r="L225">
        <v>25</v>
      </c>
      <c r="M225">
        <v>94001.85</v>
      </c>
      <c r="N225">
        <v>67805.13</v>
      </c>
      <c r="O225">
        <v>26196.720000000001</v>
      </c>
      <c r="P225" t="s">
        <v>29</v>
      </c>
      <c r="Q225">
        <v>1.7</v>
      </c>
      <c r="R225" t="s">
        <v>30</v>
      </c>
      <c r="S225" t="s">
        <v>162</v>
      </c>
      <c r="T225">
        <v>2024</v>
      </c>
    </row>
    <row r="226" spans="1:20" x14ac:dyDescent="0.3">
      <c r="A226" t="s">
        <v>516</v>
      </c>
      <c r="B226" t="s">
        <v>517</v>
      </c>
      <c r="C226" t="s">
        <v>168</v>
      </c>
      <c r="D226" t="s">
        <v>81</v>
      </c>
      <c r="E226" t="s">
        <v>149</v>
      </c>
      <c r="F226" t="s">
        <v>62</v>
      </c>
      <c r="G226" t="s">
        <v>71</v>
      </c>
      <c r="H226" t="s">
        <v>152</v>
      </c>
      <c r="I226" t="s">
        <v>143</v>
      </c>
      <c r="J226">
        <v>5</v>
      </c>
      <c r="K226">
        <v>30911.439999999999</v>
      </c>
      <c r="L226">
        <v>30</v>
      </c>
      <c r="M226">
        <v>154557.20000000001</v>
      </c>
      <c r="N226">
        <v>123112.89</v>
      </c>
      <c r="O226">
        <v>31444.31</v>
      </c>
      <c r="P226" t="s">
        <v>29</v>
      </c>
      <c r="Q226">
        <v>3</v>
      </c>
      <c r="R226" t="s">
        <v>30</v>
      </c>
      <c r="S226" t="s">
        <v>107</v>
      </c>
      <c r="T226">
        <v>2024</v>
      </c>
    </row>
    <row r="227" spans="1:20" x14ac:dyDescent="0.3">
      <c r="A227" t="s">
        <v>518</v>
      </c>
      <c r="B227" t="s">
        <v>519</v>
      </c>
      <c r="C227" t="s">
        <v>168</v>
      </c>
      <c r="D227" t="s">
        <v>69</v>
      </c>
      <c r="E227" t="s">
        <v>155</v>
      </c>
      <c r="F227" t="s">
        <v>54</v>
      </c>
      <c r="G227" t="s">
        <v>91</v>
      </c>
      <c r="H227" t="s">
        <v>179</v>
      </c>
      <c r="I227" t="s">
        <v>118</v>
      </c>
      <c r="J227">
        <v>1</v>
      </c>
      <c r="K227">
        <v>11518.23</v>
      </c>
      <c r="L227">
        <v>15</v>
      </c>
      <c r="M227">
        <v>11518.23</v>
      </c>
      <c r="N227">
        <v>9511.4699999999993</v>
      </c>
      <c r="O227">
        <v>2006.76</v>
      </c>
      <c r="P227" t="s">
        <v>29</v>
      </c>
      <c r="Q227">
        <v>4.4000000000000004</v>
      </c>
      <c r="R227" t="s">
        <v>30</v>
      </c>
      <c r="S227" t="s">
        <v>87</v>
      </c>
      <c r="T227">
        <v>2025</v>
      </c>
    </row>
    <row r="228" spans="1:20" x14ac:dyDescent="0.3">
      <c r="A228" t="s">
        <v>520</v>
      </c>
      <c r="B228" t="s">
        <v>521</v>
      </c>
      <c r="C228" t="s">
        <v>90</v>
      </c>
      <c r="D228" t="s">
        <v>35</v>
      </c>
      <c r="E228" t="s">
        <v>36</v>
      </c>
      <c r="F228" t="s">
        <v>37</v>
      </c>
      <c r="G228" t="s">
        <v>38</v>
      </c>
      <c r="H228" t="s">
        <v>39</v>
      </c>
      <c r="I228" t="s">
        <v>40</v>
      </c>
      <c r="J228">
        <v>5</v>
      </c>
      <c r="K228">
        <v>43304.55</v>
      </c>
      <c r="L228">
        <v>30</v>
      </c>
      <c r="M228">
        <v>216522.75</v>
      </c>
      <c r="N228">
        <v>155903.18</v>
      </c>
      <c r="O228">
        <v>60619.57</v>
      </c>
      <c r="P228" t="s">
        <v>41</v>
      </c>
      <c r="Q228">
        <v>2.6</v>
      </c>
      <c r="R228" t="s">
        <v>30</v>
      </c>
      <c r="S228" t="s">
        <v>42</v>
      </c>
      <c r="T228">
        <v>2024</v>
      </c>
    </row>
    <row r="229" spans="1:20" x14ac:dyDescent="0.3">
      <c r="A229" t="s">
        <v>522</v>
      </c>
      <c r="B229" t="s">
        <v>404</v>
      </c>
      <c r="C229" t="s">
        <v>22</v>
      </c>
      <c r="D229" t="s">
        <v>23</v>
      </c>
      <c r="E229" t="s">
        <v>24</v>
      </c>
      <c r="F229" t="s">
        <v>25</v>
      </c>
      <c r="G229" t="s">
        <v>26</v>
      </c>
      <c r="H229" t="s">
        <v>235</v>
      </c>
      <c r="I229" t="s">
        <v>112</v>
      </c>
      <c r="J229">
        <v>3</v>
      </c>
      <c r="K229">
        <v>3710.07</v>
      </c>
      <c r="L229">
        <v>30</v>
      </c>
      <c r="M229">
        <v>11130.21</v>
      </c>
      <c r="N229">
        <v>8678.52</v>
      </c>
      <c r="O229">
        <v>2451.69</v>
      </c>
      <c r="P229" t="s">
        <v>122</v>
      </c>
      <c r="Q229">
        <v>4.2</v>
      </c>
      <c r="R229" t="s">
        <v>30</v>
      </c>
      <c r="S229" t="s">
        <v>102</v>
      </c>
      <c r="T229">
        <v>2024</v>
      </c>
    </row>
    <row r="230" spans="1:20" x14ac:dyDescent="0.3">
      <c r="A230" t="s">
        <v>523</v>
      </c>
      <c r="B230" t="s">
        <v>138</v>
      </c>
      <c r="C230" t="s">
        <v>61</v>
      </c>
      <c r="D230" t="s">
        <v>98</v>
      </c>
      <c r="E230" t="s">
        <v>99</v>
      </c>
      <c r="F230" t="s">
        <v>45</v>
      </c>
      <c r="G230" t="s">
        <v>105</v>
      </c>
      <c r="H230" t="s">
        <v>100</v>
      </c>
      <c r="I230" t="s">
        <v>169</v>
      </c>
      <c r="J230">
        <v>2</v>
      </c>
      <c r="K230">
        <v>34621.21</v>
      </c>
      <c r="L230">
        <v>30</v>
      </c>
      <c r="M230">
        <v>69242.42</v>
      </c>
      <c r="N230">
        <v>45898.54</v>
      </c>
      <c r="O230">
        <v>23343.88</v>
      </c>
      <c r="P230" t="s">
        <v>73</v>
      </c>
      <c r="Q230">
        <v>1.8</v>
      </c>
      <c r="R230" t="s">
        <v>30</v>
      </c>
      <c r="S230" t="s">
        <v>87</v>
      </c>
      <c r="T230">
        <v>2025</v>
      </c>
    </row>
    <row r="231" spans="1:20" x14ac:dyDescent="0.3">
      <c r="A231" t="s">
        <v>524</v>
      </c>
      <c r="B231" t="s">
        <v>182</v>
      </c>
      <c r="C231" t="s">
        <v>136</v>
      </c>
      <c r="D231" t="s">
        <v>52</v>
      </c>
      <c r="E231" t="s">
        <v>53</v>
      </c>
      <c r="F231" t="s">
        <v>54</v>
      </c>
      <c r="G231" t="s">
        <v>228</v>
      </c>
      <c r="H231" t="s">
        <v>91</v>
      </c>
      <c r="I231" t="s">
        <v>296</v>
      </c>
      <c r="J231">
        <v>5</v>
      </c>
      <c r="K231">
        <v>41742.29</v>
      </c>
      <c r="L231">
        <v>10</v>
      </c>
      <c r="M231">
        <v>208711.45</v>
      </c>
      <c r="N231">
        <v>162861.37</v>
      </c>
      <c r="O231">
        <v>45850.080000000002</v>
      </c>
      <c r="P231" t="s">
        <v>113</v>
      </c>
      <c r="Q231">
        <v>2.6</v>
      </c>
      <c r="R231" t="s">
        <v>30</v>
      </c>
      <c r="S231" t="s">
        <v>78</v>
      </c>
      <c r="T231">
        <v>2024</v>
      </c>
    </row>
    <row r="232" spans="1:20" x14ac:dyDescent="0.3">
      <c r="A232" t="s">
        <v>525</v>
      </c>
      <c r="B232" t="s">
        <v>491</v>
      </c>
      <c r="C232" t="s">
        <v>97</v>
      </c>
      <c r="D232" t="s">
        <v>35</v>
      </c>
      <c r="E232" t="s">
        <v>36</v>
      </c>
      <c r="F232" t="s">
        <v>62</v>
      </c>
      <c r="G232" t="s">
        <v>71</v>
      </c>
      <c r="H232" t="s">
        <v>152</v>
      </c>
      <c r="I232" t="s">
        <v>165</v>
      </c>
      <c r="J232">
        <v>1</v>
      </c>
      <c r="K232">
        <v>46858.63</v>
      </c>
      <c r="L232">
        <v>10</v>
      </c>
      <c r="M232">
        <v>46858.63</v>
      </c>
      <c r="N232">
        <v>33398.06</v>
      </c>
      <c r="O232">
        <v>13460.57</v>
      </c>
      <c r="P232" t="s">
        <v>29</v>
      </c>
      <c r="Q232">
        <v>3.5</v>
      </c>
      <c r="R232" t="s">
        <v>30</v>
      </c>
      <c r="S232" t="s">
        <v>58</v>
      </c>
      <c r="T232">
        <v>2024</v>
      </c>
    </row>
    <row r="233" spans="1:20" x14ac:dyDescent="0.3">
      <c r="A233" t="s">
        <v>526</v>
      </c>
      <c r="B233" t="s">
        <v>527</v>
      </c>
      <c r="C233" t="s">
        <v>22</v>
      </c>
      <c r="D233" t="s">
        <v>98</v>
      </c>
      <c r="E233" t="s">
        <v>99</v>
      </c>
      <c r="F233" t="s">
        <v>54</v>
      </c>
      <c r="G233" t="s">
        <v>201</v>
      </c>
      <c r="H233" t="s">
        <v>56</v>
      </c>
      <c r="I233" t="s">
        <v>57</v>
      </c>
      <c r="J233">
        <v>1</v>
      </c>
      <c r="K233">
        <v>5413.09</v>
      </c>
      <c r="L233">
        <v>5</v>
      </c>
      <c r="M233">
        <v>5413.09</v>
      </c>
      <c r="N233">
        <v>3850.43</v>
      </c>
      <c r="O233">
        <v>1562.66</v>
      </c>
      <c r="P233" t="s">
        <v>41</v>
      </c>
      <c r="Q233">
        <v>3.4</v>
      </c>
      <c r="R233" t="s">
        <v>30</v>
      </c>
      <c r="S233" t="s">
        <v>49</v>
      </c>
      <c r="T233">
        <v>2024</v>
      </c>
    </row>
    <row r="234" spans="1:20" x14ac:dyDescent="0.3">
      <c r="A234" t="s">
        <v>528</v>
      </c>
      <c r="B234" t="s">
        <v>529</v>
      </c>
      <c r="C234" t="s">
        <v>90</v>
      </c>
      <c r="D234" t="s">
        <v>125</v>
      </c>
      <c r="E234" t="s">
        <v>126</v>
      </c>
      <c r="F234" t="s">
        <v>54</v>
      </c>
      <c r="G234" t="s">
        <v>91</v>
      </c>
      <c r="H234" t="s">
        <v>179</v>
      </c>
      <c r="I234" t="s">
        <v>180</v>
      </c>
      <c r="J234">
        <v>1</v>
      </c>
      <c r="K234">
        <v>5880.45</v>
      </c>
      <c r="L234">
        <v>5</v>
      </c>
      <c r="M234">
        <v>5880.45</v>
      </c>
      <c r="N234">
        <v>4765.1000000000004</v>
      </c>
      <c r="O234">
        <v>1115.3499999999999</v>
      </c>
      <c r="P234" t="s">
        <v>144</v>
      </c>
      <c r="Q234">
        <v>2</v>
      </c>
      <c r="R234" t="s">
        <v>30</v>
      </c>
      <c r="S234" t="s">
        <v>31</v>
      </c>
      <c r="T234">
        <v>2024</v>
      </c>
    </row>
    <row r="235" spans="1:20" x14ac:dyDescent="0.3">
      <c r="A235" t="s">
        <v>530</v>
      </c>
      <c r="B235" t="s">
        <v>124</v>
      </c>
      <c r="C235" t="s">
        <v>200</v>
      </c>
      <c r="D235" t="s">
        <v>69</v>
      </c>
      <c r="E235" t="s">
        <v>155</v>
      </c>
      <c r="F235" t="s">
        <v>25</v>
      </c>
      <c r="G235" t="s">
        <v>26</v>
      </c>
      <c r="H235" t="s">
        <v>121</v>
      </c>
      <c r="I235" t="s">
        <v>28</v>
      </c>
      <c r="J235">
        <v>3</v>
      </c>
      <c r="K235">
        <v>35665.26</v>
      </c>
      <c r="L235">
        <v>5</v>
      </c>
      <c r="M235">
        <v>106995.78</v>
      </c>
      <c r="N235">
        <v>74563.44</v>
      </c>
      <c r="O235">
        <v>32432.34</v>
      </c>
      <c r="P235" t="s">
        <v>73</v>
      </c>
      <c r="Q235">
        <v>1.2</v>
      </c>
      <c r="R235" t="s">
        <v>30</v>
      </c>
      <c r="S235" t="s">
        <v>94</v>
      </c>
      <c r="T235">
        <v>2024</v>
      </c>
    </row>
    <row r="236" spans="1:20" x14ac:dyDescent="0.3">
      <c r="A236" t="s">
        <v>531</v>
      </c>
      <c r="B236" t="s">
        <v>246</v>
      </c>
      <c r="C236" t="s">
        <v>200</v>
      </c>
      <c r="D236" t="s">
        <v>81</v>
      </c>
      <c r="E236" t="s">
        <v>128</v>
      </c>
      <c r="F236" t="s">
        <v>54</v>
      </c>
      <c r="G236" t="s">
        <v>91</v>
      </c>
      <c r="H236" t="s">
        <v>91</v>
      </c>
      <c r="I236" t="s">
        <v>180</v>
      </c>
      <c r="J236">
        <v>5</v>
      </c>
      <c r="K236">
        <v>42981.89</v>
      </c>
      <c r="L236">
        <v>20</v>
      </c>
      <c r="M236">
        <v>214909.45</v>
      </c>
      <c r="N236">
        <v>164263.01</v>
      </c>
      <c r="O236">
        <v>50646.44</v>
      </c>
      <c r="P236" t="s">
        <v>122</v>
      </c>
      <c r="Q236">
        <v>1.8</v>
      </c>
      <c r="R236" t="s">
        <v>30</v>
      </c>
      <c r="S236" t="s">
        <v>87</v>
      </c>
      <c r="T236">
        <v>2025</v>
      </c>
    </row>
    <row r="237" spans="1:20" x14ac:dyDescent="0.3">
      <c r="A237" t="s">
        <v>532</v>
      </c>
      <c r="B237" t="s">
        <v>232</v>
      </c>
      <c r="C237" t="s">
        <v>97</v>
      </c>
      <c r="D237" t="s">
        <v>35</v>
      </c>
      <c r="E237" t="s">
        <v>36</v>
      </c>
      <c r="F237" t="s">
        <v>25</v>
      </c>
      <c r="G237" t="s">
        <v>111</v>
      </c>
      <c r="H237" t="s">
        <v>121</v>
      </c>
      <c r="I237" t="s">
        <v>112</v>
      </c>
      <c r="J237">
        <v>3</v>
      </c>
      <c r="K237">
        <v>25629.88</v>
      </c>
      <c r="L237">
        <v>15</v>
      </c>
      <c r="M237">
        <v>76889.64</v>
      </c>
      <c r="N237">
        <v>56573.86</v>
      </c>
      <c r="O237">
        <v>20315.78</v>
      </c>
      <c r="P237" t="s">
        <v>29</v>
      </c>
      <c r="Q237">
        <v>2.9</v>
      </c>
      <c r="R237" t="s">
        <v>30</v>
      </c>
      <c r="S237" t="s">
        <v>31</v>
      </c>
      <c r="T237">
        <v>2024</v>
      </c>
    </row>
    <row r="238" spans="1:20" x14ac:dyDescent="0.3">
      <c r="A238" t="s">
        <v>533</v>
      </c>
      <c r="B238" t="s">
        <v>265</v>
      </c>
      <c r="C238" t="s">
        <v>136</v>
      </c>
      <c r="D238" t="s">
        <v>125</v>
      </c>
      <c r="E238" t="s">
        <v>126</v>
      </c>
      <c r="F238" t="s">
        <v>45</v>
      </c>
      <c r="G238" t="s">
        <v>46</v>
      </c>
      <c r="H238" t="s">
        <v>100</v>
      </c>
      <c r="I238" t="s">
        <v>169</v>
      </c>
      <c r="J238">
        <v>4</v>
      </c>
      <c r="K238">
        <v>22475.94</v>
      </c>
      <c r="L238">
        <v>30</v>
      </c>
      <c r="M238">
        <v>89903.76</v>
      </c>
      <c r="N238">
        <v>66867.45</v>
      </c>
      <c r="O238">
        <v>23036.31</v>
      </c>
      <c r="P238" t="s">
        <v>29</v>
      </c>
      <c r="Q238">
        <v>3.5</v>
      </c>
      <c r="R238" t="s">
        <v>30</v>
      </c>
      <c r="S238" t="s">
        <v>102</v>
      </c>
      <c r="T238">
        <v>2024</v>
      </c>
    </row>
    <row r="239" spans="1:20" x14ac:dyDescent="0.3">
      <c r="A239" t="s">
        <v>534</v>
      </c>
      <c r="B239" t="s">
        <v>535</v>
      </c>
      <c r="C239" t="s">
        <v>22</v>
      </c>
      <c r="D239" t="s">
        <v>35</v>
      </c>
      <c r="E239" t="s">
        <v>36</v>
      </c>
      <c r="F239" t="s">
        <v>62</v>
      </c>
      <c r="G239" t="s">
        <v>63</v>
      </c>
      <c r="H239" t="s">
        <v>271</v>
      </c>
      <c r="I239" t="s">
        <v>165</v>
      </c>
      <c r="J239">
        <v>5</v>
      </c>
      <c r="K239">
        <v>33250.699999999997</v>
      </c>
      <c r="L239">
        <v>20</v>
      </c>
      <c r="M239">
        <v>166253.5</v>
      </c>
      <c r="N239">
        <v>138998.41</v>
      </c>
      <c r="O239">
        <v>27255.09</v>
      </c>
      <c r="P239" t="s">
        <v>73</v>
      </c>
      <c r="Q239">
        <v>4.3</v>
      </c>
      <c r="R239" t="s">
        <v>30</v>
      </c>
      <c r="S239" t="s">
        <v>74</v>
      </c>
      <c r="T239">
        <v>2024</v>
      </c>
    </row>
    <row r="240" spans="1:20" x14ac:dyDescent="0.3">
      <c r="A240" t="s">
        <v>536</v>
      </c>
      <c r="B240" t="s">
        <v>246</v>
      </c>
      <c r="C240" t="s">
        <v>200</v>
      </c>
      <c r="D240" t="s">
        <v>81</v>
      </c>
      <c r="E240" t="s">
        <v>149</v>
      </c>
      <c r="F240" t="s">
        <v>25</v>
      </c>
      <c r="G240" t="s">
        <v>26</v>
      </c>
      <c r="H240" t="s">
        <v>129</v>
      </c>
      <c r="I240" t="s">
        <v>112</v>
      </c>
      <c r="J240">
        <v>5</v>
      </c>
      <c r="K240">
        <v>45045.03</v>
      </c>
      <c r="L240">
        <v>25</v>
      </c>
      <c r="M240">
        <v>225225.15</v>
      </c>
      <c r="N240">
        <v>188096.95</v>
      </c>
      <c r="O240">
        <v>37128.199999999997</v>
      </c>
      <c r="P240" t="s">
        <v>144</v>
      </c>
      <c r="Q240">
        <v>3.8</v>
      </c>
      <c r="R240" t="s">
        <v>30</v>
      </c>
      <c r="S240" t="s">
        <v>87</v>
      </c>
      <c r="T240">
        <v>2025</v>
      </c>
    </row>
    <row r="241" spans="1:20" x14ac:dyDescent="0.3">
      <c r="A241" t="s">
        <v>537</v>
      </c>
      <c r="B241" t="s">
        <v>538</v>
      </c>
      <c r="C241" t="s">
        <v>116</v>
      </c>
      <c r="D241" t="s">
        <v>35</v>
      </c>
      <c r="E241" t="s">
        <v>36</v>
      </c>
      <c r="F241" t="s">
        <v>62</v>
      </c>
      <c r="G241" t="s">
        <v>63</v>
      </c>
      <c r="H241" t="s">
        <v>152</v>
      </c>
      <c r="I241" t="s">
        <v>165</v>
      </c>
      <c r="J241">
        <v>5</v>
      </c>
      <c r="K241">
        <v>3955.86</v>
      </c>
      <c r="L241">
        <v>15</v>
      </c>
      <c r="M241">
        <v>19779.3</v>
      </c>
      <c r="N241">
        <v>13759.79</v>
      </c>
      <c r="O241">
        <v>6019.51</v>
      </c>
      <c r="P241" t="s">
        <v>144</v>
      </c>
      <c r="Q241">
        <v>4.7</v>
      </c>
      <c r="R241" t="s">
        <v>30</v>
      </c>
      <c r="S241" t="s">
        <v>119</v>
      </c>
      <c r="T241">
        <v>2024</v>
      </c>
    </row>
    <row r="242" spans="1:20" x14ac:dyDescent="0.3">
      <c r="A242" t="s">
        <v>539</v>
      </c>
      <c r="B242" t="s">
        <v>329</v>
      </c>
      <c r="C242" t="s">
        <v>97</v>
      </c>
      <c r="D242" t="s">
        <v>132</v>
      </c>
      <c r="E242" t="s">
        <v>158</v>
      </c>
      <c r="F242" t="s">
        <v>45</v>
      </c>
      <c r="G242" t="s">
        <v>105</v>
      </c>
      <c r="H242" t="s">
        <v>100</v>
      </c>
      <c r="I242" t="s">
        <v>48</v>
      </c>
      <c r="J242">
        <v>5</v>
      </c>
      <c r="K242">
        <v>28169.11</v>
      </c>
      <c r="L242">
        <v>10</v>
      </c>
      <c r="M242">
        <v>140845.54999999999</v>
      </c>
      <c r="N242">
        <v>109444.65</v>
      </c>
      <c r="O242">
        <v>31400.9</v>
      </c>
      <c r="P242" t="s">
        <v>41</v>
      </c>
      <c r="Q242">
        <v>2.7</v>
      </c>
      <c r="R242" t="s">
        <v>30</v>
      </c>
      <c r="S242" t="s">
        <v>49</v>
      </c>
      <c r="T242">
        <v>2024</v>
      </c>
    </row>
    <row r="243" spans="1:20" x14ac:dyDescent="0.3">
      <c r="A243" t="s">
        <v>540</v>
      </c>
      <c r="B243" t="s">
        <v>541</v>
      </c>
      <c r="C243" t="s">
        <v>22</v>
      </c>
      <c r="D243" t="s">
        <v>69</v>
      </c>
      <c r="E243" t="s">
        <v>70</v>
      </c>
      <c r="F243" t="s">
        <v>45</v>
      </c>
      <c r="G243" t="s">
        <v>105</v>
      </c>
      <c r="H243" t="s">
        <v>47</v>
      </c>
      <c r="I243" t="s">
        <v>101</v>
      </c>
      <c r="J243">
        <v>4</v>
      </c>
      <c r="K243">
        <v>42785.51</v>
      </c>
      <c r="L243">
        <v>5</v>
      </c>
      <c r="M243">
        <v>171142.04</v>
      </c>
      <c r="N243">
        <v>121875.49</v>
      </c>
      <c r="O243">
        <v>49266.55</v>
      </c>
      <c r="P243" t="s">
        <v>113</v>
      </c>
      <c r="Q243">
        <v>1.7</v>
      </c>
      <c r="R243" t="s">
        <v>30</v>
      </c>
      <c r="S243" t="s">
        <v>58</v>
      </c>
      <c r="T243">
        <v>2024</v>
      </c>
    </row>
    <row r="244" spans="1:20" x14ac:dyDescent="0.3">
      <c r="A244" t="s">
        <v>542</v>
      </c>
      <c r="B244" t="s">
        <v>543</v>
      </c>
      <c r="C244" t="s">
        <v>34</v>
      </c>
      <c r="D244" t="s">
        <v>69</v>
      </c>
      <c r="E244" t="s">
        <v>155</v>
      </c>
      <c r="F244" t="s">
        <v>54</v>
      </c>
      <c r="G244" t="s">
        <v>228</v>
      </c>
      <c r="H244" t="s">
        <v>117</v>
      </c>
      <c r="I244" t="s">
        <v>57</v>
      </c>
      <c r="J244">
        <v>2</v>
      </c>
      <c r="K244">
        <v>25614.35</v>
      </c>
      <c r="L244">
        <v>15</v>
      </c>
      <c r="M244">
        <v>51228.7</v>
      </c>
      <c r="N244">
        <v>33891.480000000003</v>
      </c>
      <c r="O244">
        <v>17337.22</v>
      </c>
      <c r="P244" t="s">
        <v>73</v>
      </c>
      <c r="Q244">
        <v>3.5</v>
      </c>
      <c r="R244" t="s">
        <v>30</v>
      </c>
      <c r="S244" t="s">
        <v>162</v>
      </c>
      <c r="T244">
        <v>2024</v>
      </c>
    </row>
    <row r="245" spans="1:20" x14ac:dyDescent="0.3">
      <c r="A245" t="s">
        <v>544</v>
      </c>
      <c r="B245" t="s">
        <v>545</v>
      </c>
      <c r="C245" t="s">
        <v>90</v>
      </c>
      <c r="D245" t="s">
        <v>132</v>
      </c>
      <c r="E245" t="s">
        <v>158</v>
      </c>
      <c r="F245" t="s">
        <v>62</v>
      </c>
      <c r="G245" t="s">
        <v>71</v>
      </c>
      <c r="H245" t="s">
        <v>72</v>
      </c>
      <c r="I245" t="s">
        <v>143</v>
      </c>
      <c r="J245">
        <v>5</v>
      </c>
      <c r="K245">
        <v>7771.58</v>
      </c>
      <c r="L245">
        <v>20</v>
      </c>
      <c r="M245">
        <v>38857.9</v>
      </c>
      <c r="N245">
        <v>28705.64</v>
      </c>
      <c r="O245">
        <v>10152.26</v>
      </c>
      <c r="P245" t="s">
        <v>29</v>
      </c>
      <c r="Q245">
        <v>3.6</v>
      </c>
      <c r="R245" t="s">
        <v>30</v>
      </c>
      <c r="S245" t="s">
        <v>162</v>
      </c>
      <c r="T245">
        <v>2024</v>
      </c>
    </row>
    <row r="246" spans="1:20" x14ac:dyDescent="0.3">
      <c r="A246" t="s">
        <v>546</v>
      </c>
      <c r="B246" t="s">
        <v>547</v>
      </c>
      <c r="C246" t="s">
        <v>61</v>
      </c>
      <c r="D246" t="s">
        <v>52</v>
      </c>
      <c r="E246" t="s">
        <v>110</v>
      </c>
      <c r="F246" t="s">
        <v>25</v>
      </c>
      <c r="G246" t="s">
        <v>26</v>
      </c>
      <c r="H246" t="s">
        <v>129</v>
      </c>
      <c r="I246" t="s">
        <v>28</v>
      </c>
      <c r="J246">
        <v>3</v>
      </c>
      <c r="K246">
        <v>31059.47</v>
      </c>
      <c r="L246">
        <v>30</v>
      </c>
      <c r="M246">
        <v>93178.41</v>
      </c>
      <c r="N246">
        <v>70618.06</v>
      </c>
      <c r="O246">
        <v>22560.35</v>
      </c>
      <c r="P246" t="s">
        <v>73</v>
      </c>
      <c r="Q246">
        <v>4.8</v>
      </c>
      <c r="R246" t="s">
        <v>30</v>
      </c>
      <c r="S246" t="s">
        <v>49</v>
      </c>
      <c r="T246">
        <v>2024</v>
      </c>
    </row>
    <row r="247" spans="1:20" x14ac:dyDescent="0.3">
      <c r="A247" t="s">
        <v>548</v>
      </c>
      <c r="B247" t="s">
        <v>549</v>
      </c>
      <c r="C247" t="s">
        <v>22</v>
      </c>
      <c r="D247" t="s">
        <v>69</v>
      </c>
      <c r="E247" t="s">
        <v>155</v>
      </c>
      <c r="F247" t="s">
        <v>25</v>
      </c>
      <c r="G247" t="s">
        <v>26</v>
      </c>
      <c r="H247" t="s">
        <v>27</v>
      </c>
      <c r="I247" t="s">
        <v>28</v>
      </c>
      <c r="J247">
        <v>5</v>
      </c>
      <c r="K247">
        <v>14506.11</v>
      </c>
      <c r="L247">
        <v>15</v>
      </c>
      <c r="M247">
        <v>72530.55</v>
      </c>
      <c r="N247">
        <v>50185.14</v>
      </c>
      <c r="O247">
        <v>22345.41</v>
      </c>
      <c r="P247" t="s">
        <v>29</v>
      </c>
      <c r="Q247">
        <v>3.5</v>
      </c>
      <c r="R247" t="s">
        <v>30</v>
      </c>
      <c r="S247" t="s">
        <v>119</v>
      </c>
      <c r="T247">
        <v>2024</v>
      </c>
    </row>
    <row r="248" spans="1:20" x14ac:dyDescent="0.3">
      <c r="A248" t="s">
        <v>550</v>
      </c>
      <c r="B248" t="s">
        <v>551</v>
      </c>
      <c r="C248" t="s">
        <v>61</v>
      </c>
      <c r="D248" t="s">
        <v>52</v>
      </c>
      <c r="E248" t="s">
        <v>110</v>
      </c>
      <c r="F248" t="s">
        <v>54</v>
      </c>
      <c r="G248" t="s">
        <v>55</v>
      </c>
      <c r="H248" t="s">
        <v>56</v>
      </c>
      <c r="I248" t="s">
        <v>93</v>
      </c>
      <c r="J248">
        <v>3</v>
      </c>
      <c r="K248">
        <v>16272.38</v>
      </c>
      <c r="L248">
        <v>10</v>
      </c>
      <c r="M248">
        <v>48817.14</v>
      </c>
      <c r="N248">
        <v>34072.9</v>
      </c>
      <c r="O248">
        <v>14744.24</v>
      </c>
      <c r="P248" t="s">
        <v>29</v>
      </c>
      <c r="Q248">
        <v>1.4</v>
      </c>
      <c r="R248" t="s">
        <v>159</v>
      </c>
      <c r="S248" t="s">
        <v>119</v>
      </c>
      <c r="T248">
        <v>2024</v>
      </c>
    </row>
    <row r="249" spans="1:20" x14ac:dyDescent="0.3">
      <c r="A249" t="s">
        <v>552</v>
      </c>
      <c r="B249" t="s">
        <v>484</v>
      </c>
      <c r="C249" t="s">
        <v>168</v>
      </c>
      <c r="D249" t="s">
        <v>52</v>
      </c>
      <c r="E249" t="s">
        <v>53</v>
      </c>
      <c r="F249" t="s">
        <v>37</v>
      </c>
      <c r="G249" t="s">
        <v>38</v>
      </c>
      <c r="H249" t="s">
        <v>140</v>
      </c>
      <c r="I249" t="s">
        <v>40</v>
      </c>
      <c r="J249">
        <v>3</v>
      </c>
      <c r="K249">
        <v>29222.92</v>
      </c>
      <c r="L249">
        <v>5</v>
      </c>
      <c r="M249">
        <v>87668.76</v>
      </c>
      <c r="N249">
        <v>58779.83</v>
      </c>
      <c r="O249">
        <v>28888.93</v>
      </c>
      <c r="P249" t="s">
        <v>29</v>
      </c>
      <c r="Q249">
        <v>2.7</v>
      </c>
      <c r="R249" t="s">
        <v>30</v>
      </c>
      <c r="S249" t="s">
        <v>74</v>
      </c>
      <c r="T249">
        <v>2024</v>
      </c>
    </row>
    <row r="250" spans="1:20" x14ac:dyDescent="0.3">
      <c r="A250" t="s">
        <v>553</v>
      </c>
      <c r="B250" t="s">
        <v>554</v>
      </c>
      <c r="C250" t="s">
        <v>116</v>
      </c>
      <c r="D250" t="s">
        <v>132</v>
      </c>
      <c r="E250" t="s">
        <v>133</v>
      </c>
      <c r="F250" t="s">
        <v>25</v>
      </c>
      <c r="G250" t="s">
        <v>111</v>
      </c>
      <c r="H250" t="s">
        <v>27</v>
      </c>
      <c r="I250" t="s">
        <v>28</v>
      </c>
      <c r="J250">
        <v>5</v>
      </c>
      <c r="K250">
        <v>1483.5</v>
      </c>
      <c r="L250">
        <v>5</v>
      </c>
      <c r="M250">
        <v>7417.5</v>
      </c>
      <c r="N250">
        <v>6067.14</v>
      </c>
      <c r="O250">
        <v>1350.36</v>
      </c>
      <c r="P250" t="s">
        <v>29</v>
      </c>
      <c r="Q250">
        <v>4.3</v>
      </c>
      <c r="R250" t="s">
        <v>30</v>
      </c>
      <c r="S250" t="s">
        <v>58</v>
      </c>
      <c r="T250">
        <v>2024</v>
      </c>
    </row>
    <row r="251" spans="1:20" x14ac:dyDescent="0.3">
      <c r="A251" t="s">
        <v>555</v>
      </c>
      <c r="B251" t="s">
        <v>556</v>
      </c>
      <c r="C251" t="s">
        <v>116</v>
      </c>
      <c r="D251" t="s">
        <v>98</v>
      </c>
      <c r="E251" t="s">
        <v>99</v>
      </c>
      <c r="F251" t="s">
        <v>25</v>
      </c>
      <c r="G251" t="s">
        <v>26</v>
      </c>
      <c r="H251" t="s">
        <v>235</v>
      </c>
      <c r="I251" t="s">
        <v>28</v>
      </c>
      <c r="J251">
        <v>2</v>
      </c>
      <c r="K251">
        <v>35629.550000000003</v>
      </c>
      <c r="L251">
        <v>10</v>
      </c>
      <c r="M251">
        <v>71259.100000000006</v>
      </c>
      <c r="N251">
        <v>49205.68</v>
      </c>
      <c r="O251">
        <v>22053.42</v>
      </c>
      <c r="P251" t="s">
        <v>73</v>
      </c>
      <c r="Q251">
        <v>2</v>
      </c>
      <c r="R251" t="s">
        <v>30</v>
      </c>
      <c r="S251" t="s">
        <v>102</v>
      </c>
      <c r="T251">
        <v>2025</v>
      </c>
    </row>
    <row r="252" spans="1:20" x14ac:dyDescent="0.3">
      <c r="A252" t="s">
        <v>557</v>
      </c>
      <c r="B252" t="s">
        <v>109</v>
      </c>
      <c r="C252" t="s">
        <v>80</v>
      </c>
      <c r="D252" t="s">
        <v>23</v>
      </c>
      <c r="E252" t="s">
        <v>24</v>
      </c>
      <c r="F252" t="s">
        <v>37</v>
      </c>
      <c r="G252" t="s">
        <v>38</v>
      </c>
      <c r="H252" t="s">
        <v>86</v>
      </c>
      <c r="I252" t="s">
        <v>40</v>
      </c>
      <c r="J252">
        <v>4</v>
      </c>
      <c r="K252">
        <v>1987.98</v>
      </c>
      <c r="L252">
        <v>25</v>
      </c>
      <c r="M252">
        <v>7951.92</v>
      </c>
      <c r="N252">
        <v>6350.81</v>
      </c>
      <c r="O252">
        <v>1601.11</v>
      </c>
      <c r="P252" t="s">
        <v>41</v>
      </c>
      <c r="Q252">
        <v>3.3</v>
      </c>
      <c r="R252" t="s">
        <v>30</v>
      </c>
      <c r="S252" t="s">
        <v>102</v>
      </c>
      <c r="T252">
        <v>2024</v>
      </c>
    </row>
    <row r="253" spans="1:20" x14ac:dyDescent="0.3">
      <c r="A253" t="s">
        <v>558</v>
      </c>
      <c r="B253" t="s">
        <v>559</v>
      </c>
      <c r="C253" t="s">
        <v>97</v>
      </c>
      <c r="D253" t="s">
        <v>52</v>
      </c>
      <c r="E253" t="s">
        <v>53</v>
      </c>
      <c r="F253" t="s">
        <v>25</v>
      </c>
      <c r="G253" t="s">
        <v>26</v>
      </c>
      <c r="H253" t="s">
        <v>27</v>
      </c>
      <c r="I253" t="s">
        <v>112</v>
      </c>
      <c r="J253">
        <v>4</v>
      </c>
      <c r="K253">
        <v>37590.44</v>
      </c>
      <c r="L253">
        <v>30</v>
      </c>
      <c r="M253">
        <v>150361.76</v>
      </c>
      <c r="N253">
        <v>100052</v>
      </c>
      <c r="O253">
        <v>50309.760000000002</v>
      </c>
      <c r="P253" t="s">
        <v>73</v>
      </c>
      <c r="Q253">
        <v>1.8</v>
      </c>
      <c r="R253" t="s">
        <v>30</v>
      </c>
      <c r="S253" t="s">
        <v>94</v>
      </c>
      <c r="T253">
        <v>2024</v>
      </c>
    </row>
    <row r="254" spans="1:20" x14ac:dyDescent="0.3">
      <c r="A254" t="s">
        <v>560</v>
      </c>
      <c r="B254" t="s">
        <v>561</v>
      </c>
      <c r="C254" t="s">
        <v>22</v>
      </c>
      <c r="D254" t="s">
        <v>35</v>
      </c>
      <c r="E254" t="s">
        <v>36</v>
      </c>
      <c r="F254" t="s">
        <v>62</v>
      </c>
      <c r="G254" t="s">
        <v>71</v>
      </c>
      <c r="H254" t="s">
        <v>72</v>
      </c>
      <c r="I254" t="s">
        <v>143</v>
      </c>
      <c r="J254">
        <v>4</v>
      </c>
      <c r="K254">
        <v>31759.49</v>
      </c>
      <c r="L254">
        <v>10</v>
      </c>
      <c r="M254">
        <v>127037.96</v>
      </c>
      <c r="N254">
        <v>94742.24</v>
      </c>
      <c r="O254">
        <v>32295.72</v>
      </c>
      <c r="P254" t="s">
        <v>41</v>
      </c>
      <c r="Q254">
        <v>2</v>
      </c>
      <c r="R254" t="s">
        <v>30</v>
      </c>
      <c r="S254" t="s">
        <v>42</v>
      </c>
      <c r="T254">
        <v>2024</v>
      </c>
    </row>
    <row r="255" spans="1:20" x14ac:dyDescent="0.3">
      <c r="A255" t="s">
        <v>562</v>
      </c>
      <c r="B255" t="s">
        <v>387</v>
      </c>
      <c r="C255" t="s">
        <v>61</v>
      </c>
      <c r="D255" t="s">
        <v>98</v>
      </c>
      <c r="E255" t="s">
        <v>99</v>
      </c>
      <c r="F255" t="s">
        <v>45</v>
      </c>
      <c r="G255" t="s">
        <v>105</v>
      </c>
      <c r="H255" t="s">
        <v>188</v>
      </c>
      <c r="I255" t="s">
        <v>101</v>
      </c>
      <c r="J255">
        <v>4</v>
      </c>
      <c r="K255">
        <v>18787.05</v>
      </c>
      <c r="L255">
        <v>15</v>
      </c>
      <c r="M255">
        <v>75148.2</v>
      </c>
      <c r="N255">
        <v>53325.83</v>
      </c>
      <c r="O255">
        <v>21822.37</v>
      </c>
      <c r="P255" t="s">
        <v>122</v>
      </c>
      <c r="Q255">
        <v>1.1000000000000001</v>
      </c>
      <c r="R255" t="s">
        <v>30</v>
      </c>
      <c r="S255" t="s">
        <v>87</v>
      </c>
      <c r="T255">
        <v>2025</v>
      </c>
    </row>
    <row r="256" spans="1:20" x14ac:dyDescent="0.3">
      <c r="A256" t="s">
        <v>563</v>
      </c>
      <c r="B256" t="s">
        <v>564</v>
      </c>
      <c r="C256" t="s">
        <v>90</v>
      </c>
      <c r="D256" t="s">
        <v>81</v>
      </c>
      <c r="E256" t="s">
        <v>149</v>
      </c>
      <c r="F256" t="s">
        <v>25</v>
      </c>
      <c r="G256" t="s">
        <v>111</v>
      </c>
      <c r="H256" t="s">
        <v>27</v>
      </c>
      <c r="I256" t="s">
        <v>28</v>
      </c>
      <c r="J256">
        <v>1</v>
      </c>
      <c r="K256">
        <v>17066.16</v>
      </c>
      <c r="L256">
        <v>20</v>
      </c>
      <c r="M256">
        <v>17066.16</v>
      </c>
      <c r="N256">
        <v>12145.34</v>
      </c>
      <c r="O256">
        <v>4920.82</v>
      </c>
      <c r="P256" t="s">
        <v>73</v>
      </c>
      <c r="Q256">
        <v>2.8</v>
      </c>
      <c r="R256" t="s">
        <v>30</v>
      </c>
      <c r="S256" t="s">
        <v>31</v>
      </c>
      <c r="T256">
        <v>2024</v>
      </c>
    </row>
    <row r="257" spans="1:20" x14ac:dyDescent="0.3">
      <c r="A257" t="s">
        <v>565</v>
      </c>
      <c r="B257" t="s">
        <v>406</v>
      </c>
      <c r="C257" t="s">
        <v>136</v>
      </c>
      <c r="D257" t="s">
        <v>125</v>
      </c>
      <c r="E257" t="s">
        <v>126</v>
      </c>
      <c r="F257" t="s">
        <v>37</v>
      </c>
      <c r="G257" t="s">
        <v>38</v>
      </c>
      <c r="H257" t="s">
        <v>86</v>
      </c>
      <c r="I257" t="s">
        <v>40</v>
      </c>
      <c r="J257">
        <v>4</v>
      </c>
      <c r="K257">
        <v>15068.72</v>
      </c>
      <c r="L257">
        <v>20</v>
      </c>
      <c r="M257">
        <v>60274.879999999997</v>
      </c>
      <c r="N257">
        <v>45014.59</v>
      </c>
      <c r="O257">
        <v>15260.29</v>
      </c>
      <c r="P257" t="s">
        <v>29</v>
      </c>
      <c r="Q257">
        <v>1.4</v>
      </c>
      <c r="R257" t="s">
        <v>30</v>
      </c>
      <c r="S257" t="s">
        <v>94</v>
      </c>
      <c r="T257">
        <v>2024</v>
      </c>
    </row>
    <row r="258" spans="1:20" x14ac:dyDescent="0.3">
      <c r="A258" t="s">
        <v>566</v>
      </c>
      <c r="B258" t="s">
        <v>567</v>
      </c>
      <c r="C258" t="s">
        <v>22</v>
      </c>
      <c r="D258" t="s">
        <v>132</v>
      </c>
      <c r="E258" t="s">
        <v>158</v>
      </c>
      <c r="F258" t="s">
        <v>54</v>
      </c>
      <c r="G258" t="s">
        <v>55</v>
      </c>
      <c r="H258" t="s">
        <v>117</v>
      </c>
      <c r="I258" t="s">
        <v>180</v>
      </c>
      <c r="J258">
        <v>3</v>
      </c>
      <c r="K258">
        <v>44334.11</v>
      </c>
      <c r="L258">
        <v>30</v>
      </c>
      <c r="M258">
        <v>133002.32999999999</v>
      </c>
      <c r="N258">
        <v>102892.59</v>
      </c>
      <c r="O258">
        <v>30109.74</v>
      </c>
      <c r="P258" t="s">
        <v>73</v>
      </c>
      <c r="Q258">
        <v>2.6</v>
      </c>
      <c r="R258" t="s">
        <v>30</v>
      </c>
      <c r="S258" t="s">
        <v>102</v>
      </c>
      <c r="T258">
        <v>2024</v>
      </c>
    </row>
    <row r="259" spans="1:20" x14ac:dyDescent="0.3">
      <c r="A259" t="s">
        <v>568</v>
      </c>
      <c r="B259" t="s">
        <v>569</v>
      </c>
      <c r="C259" t="s">
        <v>200</v>
      </c>
      <c r="D259" t="s">
        <v>98</v>
      </c>
      <c r="E259" t="s">
        <v>99</v>
      </c>
      <c r="F259" t="s">
        <v>54</v>
      </c>
      <c r="G259" t="s">
        <v>201</v>
      </c>
      <c r="H259" t="s">
        <v>117</v>
      </c>
      <c r="I259" t="s">
        <v>180</v>
      </c>
      <c r="J259">
        <v>1</v>
      </c>
      <c r="K259">
        <v>11183.75</v>
      </c>
      <c r="L259">
        <v>15</v>
      </c>
      <c r="M259">
        <v>11183.75</v>
      </c>
      <c r="N259">
        <v>9377.86</v>
      </c>
      <c r="O259">
        <v>1805.89</v>
      </c>
      <c r="P259" t="s">
        <v>122</v>
      </c>
      <c r="Q259">
        <v>4.9000000000000004</v>
      </c>
      <c r="R259" t="s">
        <v>30</v>
      </c>
      <c r="S259" t="s">
        <v>58</v>
      </c>
      <c r="T259">
        <v>2024</v>
      </c>
    </row>
    <row r="260" spans="1:20" x14ac:dyDescent="0.3">
      <c r="A260" t="s">
        <v>570</v>
      </c>
      <c r="B260" t="s">
        <v>571</v>
      </c>
      <c r="C260" t="s">
        <v>116</v>
      </c>
      <c r="D260" t="s">
        <v>125</v>
      </c>
      <c r="E260" t="s">
        <v>139</v>
      </c>
      <c r="F260" t="s">
        <v>62</v>
      </c>
      <c r="G260" t="s">
        <v>71</v>
      </c>
      <c r="H260" t="s">
        <v>64</v>
      </c>
      <c r="I260" t="s">
        <v>165</v>
      </c>
      <c r="J260">
        <v>5</v>
      </c>
      <c r="K260">
        <v>2923.95</v>
      </c>
      <c r="L260">
        <v>10</v>
      </c>
      <c r="M260">
        <v>14619.75</v>
      </c>
      <c r="N260">
        <v>11268.14</v>
      </c>
      <c r="O260">
        <v>3351.61</v>
      </c>
      <c r="P260" t="s">
        <v>144</v>
      </c>
      <c r="Q260">
        <v>1.1000000000000001</v>
      </c>
      <c r="R260" t="s">
        <v>30</v>
      </c>
      <c r="S260" t="s">
        <v>162</v>
      </c>
      <c r="T260">
        <v>2024</v>
      </c>
    </row>
    <row r="261" spans="1:20" x14ac:dyDescent="0.3">
      <c r="A261" t="s">
        <v>572</v>
      </c>
      <c r="B261" t="s">
        <v>429</v>
      </c>
      <c r="C261" t="s">
        <v>136</v>
      </c>
      <c r="D261" t="s">
        <v>98</v>
      </c>
      <c r="E261" t="s">
        <v>99</v>
      </c>
      <c r="F261" t="s">
        <v>45</v>
      </c>
      <c r="G261" t="s">
        <v>46</v>
      </c>
      <c r="H261" t="s">
        <v>188</v>
      </c>
      <c r="I261" t="s">
        <v>101</v>
      </c>
      <c r="J261">
        <v>2</v>
      </c>
      <c r="K261">
        <v>7339.66</v>
      </c>
      <c r="L261">
        <v>10</v>
      </c>
      <c r="M261">
        <v>14679.32</v>
      </c>
      <c r="N261">
        <v>9938.08</v>
      </c>
      <c r="O261">
        <v>4741.24</v>
      </c>
      <c r="P261" t="s">
        <v>144</v>
      </c>
      <c r="Q261">
        <v>1.1000000000000001</v>
      </c>
      <c r="R261" t="s">
        <v>30</v>
      </c>
      <c r="S261" t="s">
        <v>58</v>
      </c>
      <c r="T261">
        <v>2024</v>
      </c>
    </row>
    <row r="262" spans="1:20" x14ac:dyDescent="0.3">
      <c r="A262" t="s">
        <v>573</v>
      </c>
      <c r="B262" t="s">
        <v>574</v>
      </c>
      <c r="C262" t="s">
        <v>136</v>
      </c>
      <c r="D262" t="s">
        <v>125</v>
      </c>
      <c r="E262" t="s">
        <v>139</v>
      </c>
      <c r="F262" t="s">
        <v>62</v>
      </c>
      <c r="G262" t="s">
        <v>63</v>
      </c>
      <c r="H262" t="s">
        <v>83</v>
      </c>
      <c r="I262" t="s">
        <v>165</v>
      </c>
      <c r="J262">
        <v>2</v>
      </c>
      <c r="K262">
        <v>41405.370000000003</v>
      </c>
      <c r="L262">
        <v>15</v>
      </c>
      <c r="M262">
        <v>82810.740000000005</v>
      </c>
      <c r="N262">
        <v>63228.73</v>
      </c>
      <c r="O262">
        <v>19582.009999999998</v>
      </c>
      <c r="P262" t="s">
        <v>73</v>
      </c>
      <c r="Q262">
        <v>4.5999999999999996</v>
      </c>
      <c r="R262" t="s">
        <v>30</v>
      </c>
      <c r="S262" t="s">
        <v>74</v>
      </c>
      <c r="T262">
        <v>2024</v>
      </c>
    </row>
    <row r="263" spans="1:20" x14ac:dyDescent="0.3">
      <c r="A263" t="s">
        <v>575</v>
      </c>
      <c r="B263" t="s">
        <v>576</v>
      </c>
      <c r="C263" t="s">
        <v>34</v>
      </c>
      <c r="D263" t="s">
        <v>69</v>
      </c>
      <c r="E263" t="s">
        <v>155</v>
      </c>
      <c r="F263" t="s">
        <v>62</v>
      </c>
      <c r="G263" t="s">
        <v>71</v>
      </c>
      <c r="H263" t="s">
        <v>72</v>
      </c>
      <c r="I263" t="s">
        <v>143</v>
      </c>
      <c r="J263">
        <v>1</v>
      </c>
      <c r="K263">
        <v>36114.379999999997</v>
      </c>
      <c r="L263">
        <v>25</v>
      </c>
      <c r="M263">
        <v>36114.379999999997</v>
      </c>
      <c r="N263">
        <v>25646.880000000001</v>
      </c>
      <c r="O263">
        <v>10467.5</v>
      </c>
      <c r="P263" t="s">
        <v>144</v>
      </c>
      <c r="Q263">
        <v>4.5999999999999996</v>
      </c>
      <c r="R263" t="s">
        <v>30</v>
      </c>
      <c r="S263" t="s">
        <v>31</v>
      </c>
      <c r="T263">
        <v>2024</v>
      </c>
    </row>
    <row r="264" spans="1:20" x14ac:dyDescent="0.3">
      <c r="A264" t="s">
        <v>577</v>
      </c>
      <c r="B264" t="s">
        <v>578</v>
      </c>
      <c r="C264" t="s">
        <v>116</v>
      </c>
      <c r="D264" t="s">
        <v>69</v>
      </c>
      <c r="E264" t="s">
        <v>70</v>
      </c>
      <c r="F264" t="s">
        <v>54</v>
      </c>
      <c r="G264" t="s">
        <v>201</v>
      </c>
      <c r="H264" t="s">
        <v>117</v>
      </c>
      <c r="I264" t="s">
        <v>57</v>
      </c>
      <c r="J264">
        <v>5</v>
      </c>
      <c r="K264">
        <v>19915.59</v>
      </c>
      <c r="L264">
        <v>20</v>
      </c>
      <c r="M264">
        <v>99577.95</v>
      </c>
      <c r="N264">
        <v>66200.91</v>
      </c>
      <c r="O264">
        <v>33377.040000000001</v>
      </c>
      <c r="P264" t="s">
        <v>113</v>
      </c>
      <c r="Q264">
        <v>1.2</v>
      </c>
      <c r="R264" t="s">
        <v>30</v>
      </c>
      <c r="S264" t="s">
        <v>31</v>
      </c>
      <c r="T264">
        <v>2024</v>
      </c>
    </row>
    <row r="265" spans="1:20" x14ac:dyDescent="0.3">
      <c r="A265" t="s">
        <v>579</v>
      </c>
      <c r="B265" t="s">
        <v>580</v>
      </c>
      <c r="C265" t="s">
        <v>90</v>
      </c>
      <c r="D265" t="s">
        <v>132</v>
      </c>
      <c r="E265" t="s">
        <v>133</v>
      </c>
      <c r="F265" t="s">
        <v>54</v>
      </c>
      <c r="G265" t="s">
        <v>201</v>
      </c>
      <c r="H265" t="s">
        <v>117</v>
      </c>
      <c r="I265" t="s">
        <v>57</v>
      </c>
      <c r="J265">
        <v>4</v>
      </c>
      <c r="K265">
        <v>18366.97</v>
      </c>
      <c r="L265">
        <v>5</v>
      </c>
      <c r="M265">
        <v>73467.88</v>
      </c>
      <c r="N265">
        <v>56538.39</v>
      </c>
      <c r="O265">
        <v>16929.490000000002</v>
      </c>
      <c r="P265" t="s">
        <v>113</v>
      </c>
      <c r="Q265">
        <v>1.2</v>
      </c>
      <c r="R265" t="s">
        <v>30</v>
      </c>
      <c r="S265" t="s">
        <v>49</v>
      </c>
      <c r="T265">
        <v>2024</v>
      </c>
    </row>
    <row r="266" spans="1:20" x14ac:dyDescent="0.3">
      <c r="A266" t="s">
        <v>581</v>
      </c>
      <c r="B266" t="s">
        <v>582</v>
      </c>
      <c r="C266" t="s">
        <v>22</v>
      </c>
      <c r="D266" t="s">
        <v>69</v>
      </c>
      <c r="E266" t="s">
        <v>70</v>
      </c>
      <c r="F266" t="s">
        <v>54</v>
      </c>
      <c r="G266" t="s">
        <v>55</v>
      </c>
      <c r="H266" t="s">
        <v>117</v>
      </c>
      <c r="I266" t="s">
        <v>296</v>
      </c>
      <c r="J266">
        <v>2</v>
      </c>
      <c r="K266">
        <v>8563.14</v>
      </c>
      <c r="L266">
        <v>25</v>
      </c>
      <c r="M266">
        <v>17126.28</v>
      </c>
      <c r="N266">
        <v>11216.49</v>
      </c>
      <c r="O266">
        <v>5909.79</v>
      </c>
      <c r="P266" t="s">
        <v>113</v>
      </c>
      <c r="Q266">
        <v>3.1</v>
      </c>
      <c r="R266" t="s">
        <v>30</v>
      </c>
      <c r="S266" t="s">
        <v>94</v>
      </c>
      <c r="T266">
        <v>2024</v>
      </c>
    </row>
    <row r="267" spans="1:20" x14ac:dyDescent="0.3">
      <c r="A267" t="s">
        <v>583</v>
      </c>
      <c r="B267" t="s">
        <v>584</v>
      </c>
      <c r="C267" t="s">
        <v>136</v>
      </c>
      <c r="D267" t="s">
        <v>23</v>
      </c>
      <c r="E267" t="s">
        <v>24</v>
      </c>
      <c r="F267" t="s">
        <v>45</v>
      </c>
      <c r="G267" t="s">
        <v>46</v>
      </c>
      <c r="H267" t="s">
        <v>176</v>
      </c>
      <c r="I267" t="s">
        <v>48</v>
      </c>
      <c r="J267">
        <v>1</v>
      </c>
      <c r="K267">
        <v>40461.79</v>
      </c>
      <c r="L267">
        <v>15</v>
      </c>
      <c r="M267">
        <v>40461.79</v>
      </c>
      <c r="N267">
        <v>27326.1</v>
      </c>
      <c r="O267">
        <v>13135.69</v>
      </c>
      <c r="P267" t="s">
        <v>122</v>
      </c>
      <c r="Q267">
        <v>4.9000000000000004</v>
      </c>
      <c r="R267" t="s">
        <v>30</v>
      </c>
      <c r="S267" t="s">
        <v>49</v>
      </c>
      <c r="T267">
        <v>2024</v>
      </c>
    </row>
    <row r="268" spans="1:20" x14ac:dyDescent="0.3">
      <c r="A268" t="s">
        <v>585</v>
      </c>
      <c r="B268" t="s">
        <v>275</v>
      </c>
      <c r="C268" t="s">
        <v>90</v>
      </c>
      <c r="D268" t="s">
        <v>23</v>
      </c>
      <c r="E268" t="s">
        <v>24</v>
      </c>
      <c r="F268" t="s">
        <v>37</v>
      </c>
      <c r="G268" t="s">
        <v>38</v>
      </c>
      <c r="H268" t="s">
        <v>86</v>
      </c>
      <c r="I268" t="s">
        <v>40</v>
      </c>
      <c r="J268">
        <v>5</v>
      </c>
      <c r="K268">
        <v>6943.4</v>
      </c>
      <c r="L268">
        <v>5</v>
      </c>
      <c r="M268">
        <v>34717</v>
      </c>
      <c r="N268">
        <v>27886.35</v>
      </c>
      <c r="O268">
        <v>6830.65</v>
      </c>
      <c r="P268" t="s">
        <v>29</v>
      </c>
      <c r="Q268">
        <v>1.5</v>
      </c>
      <c r="R268" t="s">
        <v>30</v>
      </c>
      <c r="S268" t="s">
        <v>78</v>
      </c>
      <c r="T268">
        <v>2024</v>
      </c>
    </row>
    <row r="269" spans="1:20" x14ac:dyDescent="0.3">
      <c r="A269" t="s">
        <v>586</v>
      </c>
      <c r="B269" t="s">
        <v>584</v>
      </c>
      <c r="C269" t="s">
        <v>90</v>
      </c>
      <c r="D269" t="s">
        <v>35</v>
      </c>
      <c r="E269" t="s">
        <v>36</v>
      </c>
      <c r="F269" t="s">
        <v>45</v>
      </c>
      <c r="G269" t="s">
        <v>46</v>
      </c>
      <c r="H269" t="s">
        <v>188</v>
      </c>
      <c r="I269" t="s">
        <v>101</v>
      </c>
      <c r="J269">
        <v>1</v>
      </c>
      <c r="K269">
        <v>14517.08</v>
      </c>
      <c r="L269">
        <v>25</v>
      </c>
      <c r="M269">
        <v>14517.08</v>
      </c>
      <c r="N269">
        <v>12182.36</v>
      </c>
      <c r="O269">
        <v>2334.7199999999998</v>
      </c>
      <c r="P269" t="s">
        <v>41</v>
      </c>
      <c r="Q269">
        <v>3</v>
      </c>
      <c r="R269" t="s">
        <v>30</v>
      </c>
      <c r="S269" t="s">
        <v>49</v>
      </c>
      <c r="T269">
        <v>2024</v>
      </c>
    </row>
    <row r="270" spans="1:20" x14ac:dyDescent="0.3">
      <c r="A270" t="s">
        <v>587</v>
      </c>
      <c r="B270" t="s">
        <v>510</v>
      </c>
      <c r="C270" t="s">
        <v>22</v>
      </c>
      <c r="D270" t="s">
        <v>98</v>
      </c>
      <c r="E270" t="s">
        <v>99</v>
      </c>
      <c r="F270" t="s">
        <v>54</v>
      </c>
      <c r="G270" t="s">
        <v>55</v>
      </c>
      <c r="H270" t="s">
        <v>92</v>
      </c>
      <c r="I270" t="s">
        <v>180</v>
      </c>
      <c r="J270">
        <v>5</v>
      </c>
      <c r="K270">
        <v>4248.25</v>
      </c>
      <c r="L270">
        <v>20</v>
      </c>
      <c r="M270">
        <v>21241.25</v>
      </c>
      <c r="N270">
        <v>16267.54</v>
      </c>
      <c r="O270">
        <v>4973.71</v>
      </c>
      <c r="P270" t="s">
        <v>73</v>
      </c>
      <c r="Q270">
        <v>4.0999999999999996</v>
      </c>
      <c r="R270" t="s">
        <v>159</v>
      </c>
      <c r="S270" t="s">
        <v>78</v>
      </c>
      <c r="T270">
        <v>2024</v>
      </c>
    </row>
    <row r="271" spans="1:20" x14ac:dyDescent="0.3">
      <c r="A271" t="s">
        <v>588</v>
      </c>
      <c r="B271" t="s">
        <v>589</v>
      </c>
      <c r="C271" t="s">
        <v>116</v>
      </c>
      <c r="D271" t="s">
        <v>52</v>
      </c>
      <c r="E271" t="s">
        <v>110</v>
      </c>
      <c r="F271" t="s">
        <v>62</v>
      </c>
      <c r="G271" t="s">
        <v>63</v>
      </c>
      <c r="H271" t="s">
        <v>72</v>
      </c>
      <c r="I271" t="s">
        <v>165</v>
      </c>
      <c r="J271">
        <v>5</v>
      </c>
      <c r="K271">
        <v>43118.73</v>
      </c>
      <c r="L271">
        <v>10</v>
      </c>
      <c r="M271">
        <v>215593.65</v>
      </c>
      <c r="N271">
        <v>150477.26</v>
      </c>
      <c r="O271">
        <v>65116.39</v>
      </c>
      <c r="P271" t="s">
        <v>29</v>
      </c>
      <c r="Q271">
        <v>3.1</v>
      </c>
      <c r="R271" t="s">
        <v>30</v>
      </c>
      <c r="S271" t="s">
        <v>42</v>
      </c>
      <c r="T271">
        <v>2024</v>
      </c>
    </row>
    <row r="272" spans="1:20" x14ac:dyDescent="0.3">
      <c r="A272" t="s">
        <v>590</v>
      </c>
      <c r="B272" t="s">
        <v>591</v>
      </c>
      <c r="C272" t="s">
        <v>80</v>
      </c>
      <c r="D272" t="s">
        <v>23</v>
      </c>
      <c r="E272" t="s">
        <v>24</v>
      </c>
      <c r="F272" t="s">
        <v>37</v>
      </c>
      <c r="G272" t="s">
        <v>38</v>
      </c>
      <c r="H272" t="s">
        <v>327</v>
      </c>
      <c r="I272" t="s">
        <v>40</v>
      </c>
      <c r="J272">
        <v>2</v>
      </c>
      <c r="K272">
        <v>10086.76</v>
      </c>
      <c r="L272">
        <v>5</v>
      </c>
      <c r="M272">
        <v>20173.52</v>
      </c>
      <c r="N272">
        <v>16578.060000000001</v>
      </c>
      <c r="O272">
        <v>3595.46</v>
      </c>
      <c r="P272" t="s">
        <v>73</v>
      </c>
      <c r="Q272">
        <v>1.9</v>
      </c>
      <c r="R272" t="s">
        <v>30</v>
      </c>
      <c r="S272" t="s">
        <v>94</v>
      </c>
      <c r="T272">
        <v>2024</v>
      </c>
    </row>
    <row r="273" spans="1:20" x14ac:dyDescent="0.3">
      <c r="A273" t="s">
        <v>592</v>
      </c>
      <c r="B273" t="s">
        <v>593</v>
      </c>
      <c r="C273" t="s">
        <v>136</v>
      </c>
      <c r="D273" t="s">
        <v>69</v>
      </c>
      <c r="E273" t="s">
        <v>155</v>
      </c>
      <c r="F273" t="s">
        <v>45</v>
      </c>
      <c r="G273" t="s">
        <v>105</v>
      </c>
      <c r="H273" t="s">
        <v>47</v>
      </c>
      <c r="I273" t="s">
        <v>101</v>
      </c>
      <c r="J273">
        <v>4</v>
      </c>
      <c r="K273">
        <v>35373.5</v>
      </c>
      <c r="L273">
        <v>15</v>
      </c>
      <c r="M273">
        <v>141494</v>
      </c>
      <c r="N273">
        <v>101791.61</v>
      </c>
      <c r="O273">
        <v>39702.39</v>
      </c>
      <c r="P273" t="s">
        <v>122</v>
      </c>
      <c r="Q273">
        <v>2.9</v>
      </c>
      <c r="R273" t="s">
        <v>30</v>
      </c>
      <c r="S273" t="s">
        <v>162</v>
      </c>
      <c r="T273">
        <v>2024</v>
      </c>
    </row>
    <row r="274" spans="1:20" x14ac:dyDescent="0.3">
      <c r="A274" t="s">
        <v>594</v>
      </c>
      <c r="B274" t="s">
        <v>499</v>
      </c>
      <c r="C274" t="s">
        <v>116</v>
      </c>
      <c r="D274" t="s">
        <v>23</v>
      </c>
      <c r="E274" t="s">
        <v>24</v>
      </c>
      <c r="F274" t="s">
        <v>62</v>
      </c>
      <c r="G274" t="s">
        <v>71</v>
      </c>
      <c r="H274" t="s">
        <v>83</v>
      </c>
      <c r="I274" t="s">
        <v>65</v>
      </c>
      <c r="J274">
        <v>3</v>
      </c>
      <c r="K274">
        <v>43002.68</v>
      </c>
      <c r="L274">
        <v>15</v>
      </c>
      <c r="M274">
        <v>129008.04</v>
      </c>
      <c r="N274">
        <v>90702.69</v>
      </c>
      <c r="O274">
        <v>38305.35</v>
      </c>
      <c r="P274" t="s">
        <v>41</v>
      </c>
      <c r="Q274">
        <v>4.2</v>
      </c>
      <c r="R274" t="s">
        <v>30</v>
      </c>
      <c r="S274" t="s">
        <v>107</v>
      </c>
      <c r="T274">
        <v>2024</v>
      </c>
    </row>
    <row r="275" spans="1:20" x14ac:dyDescent="0.3">
      <c r="A275" t="s">
        <v>595</v>
      </c>
      <c r="B275" t="s">
        <v>596</v>
      </c>
      <c r="C275" t="s">
        <v>34</v>
      </c>
      <c r="D275" t="s">
        <v>35</v>
      </c>
      <c r="E275" t="s">
        <v>36</v>
      </c>
      <c r="F275" t="s">
        <v>54</v>
      </c>
      <c r="G275" t="s">
        <v>55</v>
      </c>
      <c r="H275" t="s">
        <v>179</v>
      </c>
      <c r="I275" t="s">
        <v>185</v>
      </c>
      <c r="J275">
        <v>1</v>
      </c>
      <c r="K275">
        <v>46388.81</v>
      </c>
      <c r="L275">
        <v>10</v>
      </c>
      <c r="M275">
        <v>46388.81</v>
      </c>
      <c r="N275">
        <v>38834.83</v>
      </c>
      <c r="O275">
        <v>7553.98</v>
      </c>
      <c r="P275" t="s">
        <v>113</v>
      </c>
      <c r="Q275">
        <v>4.4000000000000004</v>
      </c>
      <c r="R275" t="s">
        <v>30</v>
      </c>
      <c r="S275" t="s">
        <v>102</v>
      </c>
      <c r="T275">
        <v>2024</v>
      </c>
    </row>
    <row r="276" spans="1:20" x14ac:dyDescent="0.3">
      <c r="A276" t="s">
        <v>597</v>
      </c>
      <c r="B276" t="s">
        <v>598</v>
      </c>
      <c r="C276" t="s">
        <v>136</v>
      </c>
      <c r="D276" t="s">
        <v>69</v>
      </c>
      <c r="E276" t="s">
        <v>70</v>
      </c>
      <c r="F276" t="s">
        <v>25</v>
      </c>
      <c r="G276" t="s">
        <v>26</v>
      </c>
      <c r="H276" t="s">
        <v>129</v>
      </c>
      <c r="I276" t="s">
        <v>28</v>
      </c>
      <c r="J276">
        <v>3</v>
      </c>
      <c r="K276">
        <v>47384.51</v>
      </c>
      <c r="L276">
        <v>25</v>
      </c>
      <c r="M276">
        <v>142153.53</v>
      </c>
      <c r="N276">
        <v>117672.31</v>
      </c>
      <c r="O276">
        <v>24481.22</v>
      </c>
      <c r="P276" t="s">
        <v>144</v>
      </c>
      <c r="Q276">
        <v>1.5</v>
      </c>
      <c r="R276" t="s">
        <v>30</v>
      </c>
      <c r="S276" t="s">
        <v>49</v>
      </c>
      <c r="T276">
        <v>2024</v>
      </c>
    </row>
    <row r="277" spans="1:20" x14ac:dyDescent="0.3">
      <c r="A277" t="s">
        <v>599</v>
      </c>
      <c r="B277" t="s">
        <v>600</v>
      </c>
      <c r="C277" t="s">
        <v>168</v>
      </c>
      <c r="D277" t="s">
        <v>69</v>
      </c>
      <c r="E277" t="s">
        <v>70</v>
      </c>
      <c r="F277" t="s">
        <v>37</v>
      </c>
      <c r="G277" t="s">
        <v>38</v>
      </c>
      <c r="H277" t="s">
        <v>86</v>
      </c>
      <c r="I277" t="s">
        <v>40</v>
      </c>
      <c r="J277">
        <v>2</v>
      </c>
      <c r="K277">
        <v>15826.47</v>
      </c>
      <c r="L277">
        <v>30</v>
      </c>
      <c r="M277">
        <v>31652.94</v>
      </c>
      <c r="N277">
        <v>24343.72</v>
      </c>
      <c r="O277">
        <v>7309.22</v>
      </c>
      <c r="P277" t="s">
        <v>144</v>
      </c>
      <c r="Q277">
        <v>4.4000000000000004</v>
      </c>
      <c r="R277" t="s">
        <v>30</v>
      </c>
      <c r="S277" t="s">
        <v>78</v>
      </c>
      <c r="T277">
        <v>2024</v>
      </c>
    </row>
    <row r="278" spans="1:20" x14ac:dyDescent="0.3">
      <c r="A278" t="s">
        <v>601</v>
      </c>
      <c r="B278" t="s">
        <v>311</v>
      </c>
      <c r="C278" t="s">
        <v>80</v>
      </c>
      <c r="D278" t="s">
        <v>81</v>
      </c>
      <c r="E278" t="s">
        <v>82</v>
      </c>
      <c r="F278" t="s">
        <v>45</v>
      </c>
      <c r="G278" t="s">
        <v>105</v>
      </c>
      <c r="H278" t="s">
        <v>188</v>
      </c>
      <c r="I278" t="s">
        <v>169</v>
      </c>
      <c r="J278">
        <v>5</v>
      </c>
      <c r="K278">
        <v>33927.57</v>
      </c>
      <c r="L278">
        <v>15</v>
      </c>
      <c r="M278">
        <v>169637.85</v>
      </c>
      <c r="N278">
        <v>128013.35</v>
      </c>
      <c r="O278">
        <v>41624.5</v>
      </c>
      <c r="P278" t="s">
        <v>73</v>
      </c>
      <c r="Q278">
        <v>2.6</v>
      </c>
      <c r="R278" t="s">
        <v>30</v>
      </c>
      <c r="S278" t="s">
        <v>102</v>
      </c>
      <c r="T278">
        <v>2025</v>
      </c>
    </row>
    <row r="279" spans="1:20" x14ac:dyDescent="0.3">
      <c r="A279" t="s">
        <v>602</v>
      </c>
      <c r="B279" t="s">
        <v>603</v>
      </c>
      <c r="C279" t="s">
        <v>136</v>
      </c>
      <c r="D279" t="s">
        <v>132</v>
      </c>
      <c r="E279" t="s">
        <v>133</v>
      </c>
      <c r="F279" t="s">
        <v>54</v>
      </c>
      <c r="G279" t="s">
        <v>228</v>
      </c>
      <c r="H279" t="s">
        <v>92</v>
      </c>
      <c r="I279" t="s">
        <v>93</v>
      </c>
      <c r="J279">
        <v>1</v>
      </c>
      <c r="K279">
        <v>27400.84</v>
      </c>
      <c r="L279">
        <v>15</v>
      </c>
      <c r="M279">
        <v>27400.84</v>
      </c>
      <c r="N279">
        <v>18889.34</v>
      </c>
      <c r="O279">
        <v>8511.5</v>
      </c>
      <c r="P279" t="s">
        <v>144</v>
      </c>
      <c r="Q279">
        <v>3.6</v>
      </c>
      <c r="R279" t="s">
        <v>30</v>
      </c>
      <c r="S279" t="s">
        <v>102</v>
      </c>
      <c r="T279">
        <v>2025</v>
      </c>
    </row>
    <row r="280" spans="1:20" x14ac:dyDescent="0.3">
      <c r="A280" t="s">
        <v>604</v>
      </c>
      <c r="B280" t="s">
        <v>605</v>
      </c>
      <c r="C280" t="s">
        <v>80</v>
      </c>
      <c r="D280" t="s">
        <v>23</v>
      </c>
      <c r="E280" t="s">
        <v>24</v>
      </c>
      <c r="F280" t="s">
        <v>54</v>
      </c>
      <c r="G280" t="s">
        <v>55</v>
      </c>
      <c r="H280" t="s">
        <v>92</v>
      </c>
      <c r="I280" t="s">
        <v>296</v>
      </c>
      <c r="J280">
        <v>4</v>
      </c>
      <c r="K280">
        <v>37684.28</v>
      </c>
      <c r="L280">
        <v>25</v>
      </c>
      <c r="M280">
        <v>150737.12</v>
      </c>
      <c r="N280">
        <v>108250.49</v>
      </c>
      <c r="O280">
        <v>42486.63</v>
      </c>
      <c r="P280" t="s">
        <v>113</v>
      </c>
      <c r="Q280">
        <v>3.2</v>
      </c>
      <c r="R280" t="s">
        <v>30</v>
      </c>
      <c r="S280" t="s">
        <v>107</v>
      </c>
      <c r="T280">
        <v>2024</v>
      </c>
    </row>
    <row r="281" spans="1:20" x14ac:dyDescent="0.3">
      <c r="A281" t="s">
        <v>606</v>
      </c>
      <c r="B281" t="s">
        <v>607</v>
      </c>
      <c r="C281" t="s">
        <v>90</v>
      </c>
      <c r="D281" t="s">
        <v>125</v>
      </c>
      <c r="E281" t="s">
        <v>126</v>
      </c>
      <c r="F281" t="s">
        <v>37</v>
      </c>
      <c r="G281" t="s">
        <v>38</v>
      </c>
      <c r="H281" t="s">
        <v>77</v>
      </c>
      <c r="I281" t="s">
        <v>40</v>
      </c>
      <c r="J281">
        <v>4</v>
      </c>
      <c r="K281">
        <v>22968.18</v>
      </c>
      <c r="L281">
        <v>5</v>
      </c>
      <c r="M281">
        <v>91872.72</v>
      </c>
      <c r="N281">
        <v>71133.83</v>
      </c>
      <c r="O281">
        <v>20738.89</v>
      </c>
      <c r="P281" t="s">
        <v>144</v>
      </c>
      <c r="Q281">
        <v>4.0999999999999996</v>
      </c>
      <c r="R281" t="s">
        <v>30</v>
      </c>
      <c r="S281" t="s">
        <v>87</v>
      </c>
      <c r="T281">
        <v>2025</v>
      </c>
    </row>
    <row r="282" spans="1:20" x14ac:dyDescent="0.3">
      <c r="A282" t="s">
        <v>608</v>
      </c>
      <c r="B282" t="s">
        <v>609</v>
      </c>
      <c r="C282" t="s">
        <v>200</v>
      </c>
      <c r="D282" t="s">
        <v>23</v>
      </c>
      <c r="E282" t="s">
        <v>24</v>
      </c>
      <c r="F282" t="s">
        <v>62</v>
      </c>
      <c r="G282" t="s">
        <v>63</v>
      </c>
      <c r="H282" t="s">
        <v>271</v>
      </c>
      <c r="I282" t="s">
        <v>143</v>
      </c>
      <c r="J282">
        <v>1</v>
      </c>
      <c r="K282">
        <v>43444.93</v>
      </c>
      <c r="L282">
        <v>30</v>
      </c>
      <c r="M282">
        <v>43444.93</v>
      </c>
      <c r="N282">
        <v>36283.120000000003</v>
      </c>
      <c r="O282">
        <v>7161.81</v>
      </c>
      <c r="P282" t="s">
        <v>73</v>
      </c>
      <c r="Q282">
        <v>4</v>
      </c>
      <c r="R282" t="s">
        <v>30</v>
      </c>
      <c r="S282" t="s">
        <v>87</v>
      </c>
      <c r="T282">
        <v>2025</v>
      </c>
    </row>
    <row r="283" spans="1:20" x14ac:dyDescent="0.3">
      <c r="A283" t="s">
        <v>610</v>
      </c>
      <c r="B283" t="s">
        <v>210</v>
      </c>
      <c r="C283" t="s">
        <v>168</v>
      </c>
      <c r="D283" t="s">
        <v>81</v>
      </c>
      <c r="E283" t="s">
        <v>82</v>
      </c>
      <c r="F283" t="s">
        <v>54</v>
      </c>
      <c r="G283" t="s">
        <v>91</v>
      </c>
      <c r="H283" t="s">
        <v>91</v>
      </c>
      <c r="I283" t="s">
        <v>180</v>
      </c>
      <c r="J283">
        <v>3</v>
      </c>
      <c r="K283">
        <v>36083.22</v>
      </c>
      <c r="L283">
        <v>20</v>
      </c>
      <c r="M283">
        <v>108249.66</v>
      </c>
      <c r="N283">
        <v>71945.13</v>
      </c>
      <c r="O283">
        <v>36304.53</v>
      </c>
      <c r="P283" t="s">
        <v>122</v>
      </c>
      <c r="Q283">
        <v>2.9</v>
      </c>
      <c r="R283" t="s">
        <v>30</v>
      </c>
      <c r="S283" t="s">
        <v>78</v>
      </c>
      <c r="T283">
        <v>2024</v>
      </c>
    </row>
    <row r="284" spans="1:20" x14ac:dyDescent="0.3">
      <c r="A284" t="s">
        <v>611</v>
      </c>
      <c r="B284" t="s">
        <v>612</v>
      </c>
      <c r="C284" t="s">
        <v>116</v>
      </c>
      <c r="D284" t="s">
        <v>23</v>
      </c>
      <c r="E284" t="s">
        <v>24</v>
      </c>
      <c r="F284" t="s">
        <v>62</v>
      </c>
      <c r="G284" t="s">
        <v>63</v>
      </c>
      <c r="H284" t="s">
        <v>64</v>
      </c>
      <c r="I284" t="s">
        <v>165</v>
      </c>
      <c r="J284">
        <v>5</v>
      </c>
      <c r="K284">
        <v>43043.82</v>
      </c>
      <c r="L284">
        <v>15</v>
      </c>
      <c r="M284">
        <v>215219.1</v>
      </c>
      <c r="N284">
        <v>167089.04</v>
      </c>
      <c r="O284">
        <v>48130.06</v>
      </c>
      <c r="P284" t="s">
        <v>73</v>
      </c>
      <c r="Q284">
        <v>4.0999999999999996</v>
      </c>
      <c r="R284" t="s">
        <v>30</v>
      </c>
      <c r="S284" t="s">
        <v>58</v>
      </c>
      <c r="T284">
        <v>2024</v>
      </c>
    </row>
    <row r="285" spans="1:20" x14ac:dyDescent="0.3">
      <c r="A285" t="s">
        <v>613</v>
      </c>
      <c r="B285" t="s">
        <v>614</v>
      </c>
      <c r="C285" t="s">
        <v>116</v>
      </c>
      <c r="D285" t="s">
        <v>69</v>
      </c>
      <c r="E285" t="s">
        <v>70</v>
      </c>
      <c r="F285" t="s">
        <v>54</v>
      </c>
      <c r="G285" t="s">
        <v>201</v>
      </c>
      <c r="H285" t="s">
        <v>56</v>
      </c>
      <c r="I285" t="s">
        <v>180</v>
      </c>
      <c r="J285">
        <v>4</v>
      </c>
      <c r="K285">
        <v>1517.63</v>
      </c>
      <c r="L285">
        <v>15</v>
      </c>
      <c r="M285">
        <v>6070.52</v>
      </c>
      <c r="N285">
        <v>5085.47</v>
      </c>
      <c r="O285">
        <v>985.05</v>
      </c>
      <c r="P285" t="s">
        <v>113</v>
      </c>
      <c r="Q285">
        <v>2</v>
      </c>
      <c r="R285" t="s">
        <v>30</v>
      </c>
      <c r="S285" t="s">
        <v>58</v>
      </c>
      <c r="T285">
        <v>2024</v>
      </c>
    </row>
    <row r="286" spans="1:20" x14ac:dyDescent="0.3">
      <c r="A286" t="s">
        <v>615</v>
      </c>
      <c r="B286" t="s">
        <v>569</v>
      </c>
      <c r="C286" t="s">
        <v>80</v>
      </c>
      <c r="D286" t="s">
        <v>35</v>
      </c>
      <c r="E286" t="s">
        <v>36</v>
      </c>
      <c r="F286" t="s">
        <v>25</v>
      </c>
      <c r="G286" t="s">
        <v>111</v>
      </c>
      <c r="H286" t="s">
        <v>221</v>
      </c>
      <c r="I286" t="s">
        <v>112</v>
      </c>
      <c r="J286">
        <v>5</v>
      </c>
      <c r="K286">
        <v>1626.1</v>
      </c>
      <c r="L286">
        <v>20</v>
      </c>
      <c r="M286">
        <v>8130.5</v>
      </c>
      <c r="N286">
        <v>6077.65</v>
      </c>
      <c r="O286">
        <v>2052.85</v>
      </c>
      <c r="P286" t="s">
        <v>122</v>
      </c>
      <c r="Q286">
        <v>2.8</v>
      </c>
      <c r="R286" t="s">
        <v>30</v>
      </c>
      <c r="S286" t="s">
        <v>58</v>
      </c>
      <c r="T286">
        <v>2024</v>
      </c>
    </row>
    <row r="287" spans="1:20" x14ac:dyDescent="0.3">
      <c r="A287" t="s">
        <v>616</v>
      </c>
      <c r="B287" t="s">
        <v>617</v>
      </c>
      <c r="C287" t="s">
        <v>80</v>
      </c>
      <c r="D287" t="s">
        <v>132</v>
      </c>
      <c r="E287" t="s">
        <v>158</v>
      </c>
      <c r="F287" t="s">
        <v>37</v>
      </c>
      <c r="G287" t="s">
        <v>38</v>
      </c>
      <c r="H287" t="s">
        <v>140</v>
      </c>
      <c r="I287" t="s">
        <v>40</v>
      </c>
      <c r="J287">
        <v>1</v>
      </c>
      <c r="K287">
        <v>40384.620000000003</v>
      </c>
      <c r="L287">
        <v>10</v>
      </c>
      <c r="M287">
        <v>40384.620000000003</v>
      </c>
      <c r="N287">
        <v>30014.48</v>
      </c>
      <c r="O287">
        <v>10370.14</v>
      </c>
      <c r="P287" t="s">
        <v>41</v>
      </c>
      <c r="Q287">
        <v>4.2</v>
      </c>
      <c r="R287" t="s">
        <v>30</v>
      </c>
      <c r="S287" t="s">
        <v>107</v>
      </c>
      <c r="T287">
        <v>2024</v>
      </c>
    </row>
    <row r="288" spans="1:20" x14ac:dyDescent="0.3">
      <c r="A288" t="s">
        <v>618</v>
      </c>
      <c r="B288" t="s">
        <v>619</v>
      </c>
      <c r="C288" t="s">
        <v>80</v>
      </c>
      <c r="D288" t="s">
        <v>98</v>
      </c>
      <c r="E288" t="s">
        <v>99</v>
      </c>
      <c r="F288" t="s">
        <v>37</v>
      </c>
      <c r="G288" t="s">
        <v>38</v>
      </c>
      <c r="H288" t="s">
        <v>140</v>
      </c>
      <c r="I288" t="s">
        <v>40</v>
      </c>
      <c r="J288">
        <v>1</v>
      </c>
      <c r="K288">
        <v>37295.08</v>
      </c>
      <c r="L288">
        <v>10</v>
      </c>
      <c r="M288">
        <v>37295.08</v>
      </c>
      <c r="N288">
        <v>30271.279999999999</v>
      </c>
      <c r="O288">
        <v>7023.8</v>
      </c>
      <c r="P288" t="s">
        <v>41</v>
      </c>
      <c r="Q288">
        <v>4</v>
      </c>
      <c r="R288" t="s">
        <v>30</v>
      </c>
      <c r="S288" t="s">
        <v>102</v>
      </c>
      <c r="T288">
        <v>2025</v>
      </c>
    </row>
    <row r="289" spans="1:20" x14ac:dyDescent="0.3">
      <c r="A289" t="s">
        <v>620</v>
      </c>
      <c r="B289" t="s">
        <v>621</v>
      </c>
      <c r="C289" t="s">
        <v>97</v>
      </c>
      <c r="D289" t="s">
        <v>81</v>
      </c>
      <c r="E289" t="s">
        <v>128</v>
      </c>
      <c r="F289" t="s">
        <v>37</v>
      </c>
      <c r="G289" t="s">
        <v>38</v>
      </c>
      <c r="H289" t="s">
        <v>77</v>
      </c>
      <c r="I289" t="s">
        <v>40</v>
      </c>
      <c r="J289">
        <v>3</v>
      </c>
      <c r="K289">
        <v>13915.5</v>
      </c>
      <c r="L289">
        <v>25</v>
      </c>
      <c r="M289">
        <v>41746.5</v>
      </c>
      <c r="N289">
        <v>34160.400000000001</v>
      </c>
      <c r="O289">
        <v>7586.1</v>
      </c>
      <c r="P289" t="s">
        <v>144</v>
      </c>
      <c r="Q289">
        <v>3.9</v>
      </c>
      <c r="R289" t="s">
        <v>30</v>
      </c>
      <c r="S289" t="s">
        <v>78</v>
      </c>
      <c r="T289">
        <v>2024</v>
      </c>
    </row>
    <row r="290" spans="1:20" x14ac:dyDescent="0.3">
      <c r="A290" t="s">
        <v>622</v>
      </c>
      <c r="B290" t="s">
        <v>319</v>
      </c>
      <c r="C290" t="s">
        <v>80</v>
      </c>
      <c r="D290" t="s">
        <v>81</v>
      </c>
      <c r="E290" t="s">
        <v>82</v>
      </c>
      <c r="F290" t="s">
        <v>54</v>
      </c>
      <c r="G290" t="s">
        <v>91</v>
      </c>
      <c r="H290" t="s">
        <v>117</v>
      </c>
      <c r="I290" t="s">
        <v>296</v>
      </c>
      <c r="J290">
        <v>2</v>
      </c>
      <c r="K290">
        <v>23625.05</v>
      </c>
      <c r="L290">
        <v>15</v>
      </c>
      <c r="M290">
        <v>47250.1</v>
      </c>
      <c r="N290">
        <v>32680.83</v>
      </c>
      <c r="O290">
        <v>14569.27</v>
      </c>
      <c r="P290" t="s">
        <v>29</v>
      </c>
      <c r="Q290">
        <v>2</v>
      </c>
      <c r="R290" t="s">
        <v>159</v>
      </c>
      <c r="S290" t="s">
        <v>78</v>
      </c>
      <c r="T290">
        <v>2024</v>
      </c>
    </row>
    <row r="291" spans="1:20" x14ac:dyDescent="0.3">
      <c r="A291" t="s">
        <v>623</v>
      </c>
      <c r="B291" t="s">
        <v>465</v>
      </c>
      <c r="C291" t="s">
        <v>22</v>
      </c>
      <c r="D291" t="s">
        <v>81</v>
      </c>
      <c r="E291" t="s">
        <v>149</v>
      </c>
      <c r="F291" t="s">
        <v>62</v>
      </c>
      <c r="G291" t="s">
        <v>71</v>
      </c>
      <c r="H291" t="s">
        <v>72</v>
      </c>
      <c r="I291" t="s">
        <v>65</v>
      </c>
      <c r="J291">
        <v>3</v>
      </c>
      <c r="K291">
        <v>464.18</v>
      </c>
      <c r="L291">
        <v>5</v>
      </c>
      <c r="M291">
        <v>1392.54</v>
      </c>
      <c r="N291">
        <v>1042.81</v>
      </c>
      <c r="O291">
        <v>349.73</v>
      </c>
      <c r="P291" t="s">
        <v>29</v>
      </c>
      <c r="Q291">
        <v>4.0999999999999996</v>
      </c>
      <c r="R291" t="s">
        <v>30</v>
      </c>
      <c r="S291" t="s">
        <v>162</v>
      </c>
      <c r="T291">
        <v>2024</v>
      </c>
    </row>
    <row r="292" spans="1:20" x14ac:dyDescent="0.3">
      <c r="A292" t="s">
        <v>624</v>
      </c>
      <c r="B292" t="s">
        <v>625</v>
      </c>
      <c r="C292" t="s">
        <v>136</v>
      </c>
      <c r="D292" t="s">
        <v>132</v>
      </c>
      <c r="E292" t="s">
        <v>133</v>
      </c>
      <c r="F292" t="s">
        <v>37</v>
      </c>
      <c r="G292" t="s">
        <v>38</v>
      </c>
      <c r="H292" t="s">
        <v>140</v>
      </c>
      <c r="I292" t="s">
        <v>40</v>
      </c>
      <c r="J292">
        <v>2</v>
      </c>
      <c r="K292">
        <v>26667.15</v>
      </c>
      <c r="L292">
        <v>25</v>
      </c>
      <c r="M292">
        <v>53334.3</v>
      </c>
      <c r="N292">
        <v>41294.78</v>
      </c>
      <c r="O292">
        <v>12039.52</v>
      </c>
      <c r="P292" t="s">
        <v>122</v>
      </c>
      <c r="Q292">
        <v>1.9</v>
      </c>
      <c r="R292" t="s">
        <v>30</v>
      </c>
      <c r="S292" t="s">
        <v>58</v>
      </c>
      <c r="T292">
        <v>2024</v>
      </c>
    </row>
    <row r="293" spans="1:20" x14ac:dyDescent="0.3">
      <c r="A293" t="s">
        <v>626</v>
      </c>
      <c r="B293" t="s">
        <v>627</v>
      </c>
      <c r="C293" t="s">
        <v>168</v>
      </c>
      <c r="D293" t="s">
        <v>81</v>
      </c>
      <c r="E293" t="s">
        <v>82</v>
      </c>
      <c r="F293" t="s">
        <v>25</v>
      </c>
      <c r="G293" t="s">
        <v>111</v>
      </c>
      <c r="H293" t="s">
        <v>221</v>
      </c>
      <c r="I293" t="s">
        <v>28</v>
      </c>
      <c r="J293">
        <v>2</v>
      </c>
      <c r="K293">
        <v>29093.02</v>
      </c>
      <c r="L293">
        <v>20</v>
      </c>
      <c r="M293">
        <v>58186.04</v>
      </c>
      <c r="N293">
        <v>41533.69</v>
      </c>
      <c r="O293">
        <v>16652.349999999999</v>
      </c>
      <c r="P293" t="s">
        <v>29</v>
      </c>
      <c r="Q293">
        <v>3.7</v>
      </c>
      <c r="R293" t="s">
        <v>30</v>
      </c>
      <c r="S293" t="s">
        <v>58</v>
      </c>
      <c r="T293">
        <v>2024</v>
      </c>
    </row>
    <row r="294" spans="1:20" x14ac:dyDescent="0.3">
      <c r="A294" t="s">
        <v>628</v>
      </c>
      <c r="B294" t="s">
        <v>589</v>
      </c>
      <c r="C294" t="s">
        <v>22</v>
      </c>
      <c r="D294" t="s">
        <v>69</v>
      </c>
      <c r="E294" t="s">
        <v>70</v>
      </c>
      <c r="F294" t="s">
        <v>37</v>
      </c>
      <c r="G294" t="s">
        <v>38</v>
      </c>
      <c r="H294" t="s">
        <v>86</v>
      </c>
      <c r="I294" t="s">
        <v>40</v>
      </c>
      <c r="J294">
        <v>3</v>
      </c>
      <c r="K294">
        <v>44770.65</v>
      </c>
      <c r="L294">
        <v>15</v>
      </c>
      <c r="M294">
        <v>134311.95000000001</v>
      </c>
      <c r="N294">
        <v>103331.34</v>
      </c>
      <c r="O294">
        <v>30980.61</v>
      </c>
      <c r="P294" t="s">
        <v>73</v>
      </c>
      <c r="Q294">
        <v>3.5</v>
      </c>
      <c r="R294" t="s">
        <v>30</v>
      </c>
      <c r="S294" t="s">
        <v>42</v>
      </c>
      <c r="T294">
        <v>2024</v>
      </c>
    </row>
    <row r="295" spans="1:20" x14ac:dyDescent="0.3">
      <c r="A295" t="s">
        <v>629</v>
      </c>
      <c r="B295" t="s">
        <v>465</v>
      </c>
      <c r="C295" t="s">
        <v>97</v>
      </c>
      <c r="D295" t="s">
        <v>81</v>
      </c>
      <c r="E295" t="s">
        <v>149</v>
      </c>
      <c r="F295" t="s">
        <v>62</v>
      </c>
      <c r="G295" t="s">
        <v>63</v>
      </c>
      <c r="H295" t="s">
        <v>152</v>
      </c>
      <c r="I295" t="s">
        <v>143</v>
      </c>
      <c r="J295">
        <v>1</v>
      </c>
      <c r="K295">
        <v>32749.9</v>
      </c>
      <c r="L295">
        <v>5</v>
      </c>
      <c r="M295">
        <v>32749.9</v>
      </c>
      <c r="N295">
        <v>24848.55</v>
      </c>
      <c r="O295">
        <v>7901.35</v>
      </c>
      <c r="P295" t="s">
        <v>144</v>
      </c>
      <c r="Q295">
        <v>3.8</v>
      </c>
      <c r="R295" t="s">
        <v>30</v>
      </c>
      <c r="S295" t="s">
        <v>162</v>
      </c>
      <c r="T295">
        <v>2024</v>
      </c>
    </row>
    <row r="296" spans="1:20" x14ac:dyDescent="0.3">
      <c r="A296" t="s">
        <v>630</v>
      </c>
      <c r="B296" t="s">
        <v>289</v>
      </c>
      <c r="C296" t="s">
        <v>116</v>
      </c>
      <c r="D296" t="s">
        <v>98</v>
      </c>
      <c r="E296" t="s">
        <v>99</v>
      </c>
      <c r="F296" t="s">
        <v>25</v>
      </c>
      <c r="G296" t="s">
        <v>26</v>
      </c>
      <c r="H296" t="s">
        <v>27</v>
      </c>
      <c r="I296" t="s">
        <v>28</v>
      </c>
      <c r="J296">
        <v>3</v>
      </c>
      <c r="K296">
        <v>4990.66</v>
      </c>
      <c r="L296">
        <v>20</v>
      </c>
      <c r="M296">
        <v>14971.98</v>
      </c>
      <c r="N296">
        <v>11074.76</v>
      </c>
      <c r="O296">
        <v>3897.22</v>
      </c>
      <c r="P296" t="s">
        <v>73</v>
      </c>
      <c r="Q296">
        <v>4.5999999999999996</v>
      </c>
      <c r="R296" t="s">
        <v>30</v>
      </c>
      <c r="S296" t="s">
        <v>49</v>
      </c>
      <c r="T296">
        <v>2024</v>
      </c>
    </row>
    <row r="297" spans="1:20" x14ac:dyDescent="0.3">
      <c r="A297" t="s">
        <v>631</v>
      </c>
      <c r="B297" t="s">
        <v>632</v>
      </c>
      <c r="C297" t="s">
        <v>116</v>
      </c>
      <c r="D297" t="s">
        <v>81</v>
      </c>
      <c r="E297" t="s">
        <v>149</v>
      </c>
      <c r="F297" t="s">
        <v>37</v>
      </c>
      <c r="G297" t="s">
        <v>38</v>
      </c>
      <c r="H297" t="s">
        <v>140</v>
      </c>
      <c r="I297" t="s">
        <v>40</v>
      </c>
      <c r="J297">
        <v>3</v>
      </c>
      <c r="K297">
        <v>11044.89</v>
      </c>
      <c r="L297">
        <v>25</v>
      </c>
      <c r="M297">
        <v>33134.67</v>
      </c>
      <c r="N297">
        <v>26129.48</v>
      </c>
      <c r="O297">
        <v>7005.19</v>
      </c>
      <c r="P297" t="s">
        <v>73</v>
      </c>
      <c r="Q297">
        <v>1.5</v>
      </c>
      <c r="R297" t="s">
        <v>30</v>
      </c>
      <c r="S297" t="s">
        <v>58</v>
      </c>
      <c r="T297">
        <v>2024</v>
      </c>
    </row>
    <row r="298" spans="1:20" x14ac:dyDescent="0.3">
      <c r="A298" t="s">
        <v>633</v>
      </c>
      <c r="B298" t="s">
        <v>634</v>
      </c>
      <c r="C298" t="s">
        <v>136</v>
      </c>
      <c r="D298" t="s">
        <v>52</v>
      </c>
      <c r="E298" t="s">
        <v>53</v>
      </c>
      <c r="F298" t="s">
        <v>25</v>
      </c>
      <c r="G298" t="s">
        <v>111</v>
      </c>
      <c r="H298" t="s">
        <v>221</v>
      </c>
      <c r="I298" t="s">
        <v>28</v>
      </c>
      <c r="J298">
        <v>5</v>
      </c>
      <c r="K298">
        <v>46032.160000000003</v>
      </c>
      <c r="L298">
        <v>15</v>
      </c>
      <c r="M298">
        <v>230160.8</v>
      </c>
      <c r="N298">
        <v>173757.39</v>
      </c>
      <c r="O298">
        <v>56403.41</v>
      </c>
      <c r="P298" t="s">
        <v>29</v>
      </c>
      <c r="Q298">
        <v>4.4000000000000004</v>
      </c>
      <c r="R298" t="s">
        <v>30</v>
      </c>
      <c r="S298" t="s">
        <v>42</v>
      </c>
      <c r="T298">
        <v>2024</v>
      </c>
    </row>
    <row r="299" spans="1:20" x14ac:dyDescent="0.3">
      <c r="A299" t="s">
        <v>635</v>
      </c>
      <c r="B299" t="s">
        <v>267</v>
      </c>
      <c r="C299" t="s">
        <v>97</v>
      </c>
      <c r="D299" t="s">
        <v>35</v>
      </c>
      <c r="E299" t="s">
        <v>36</v>
      </c>
      <c r="F299" t="s">
        <v>25</v>
      </c>
      <c r="G299" t="s">
        <v>26</v>
      </c>
      <c r="H299" t="s">
        <v>27</v>
      </c>
      <c r="I299" t="s">
        <v>112</v>
      </c>
      <c r="J299">
        <v>3</v>
      </c>
      <c r="K299">
        <v>43965.67</v>
      </c>
      <c r="L299">
        <v>30</v>
      </c>
      <c r="M299">
        <v>131897.01</v>
      </c>
      <c r="N299">
        <v>104246.73</v>
      </c>
      <c r="O299">
        <v>27650.28</v>
      </c>
      <c r="P299" t="s">
        <v>29</v>
      </c>
      <c r="Q299">
        <v>1.1000000000000001</v>
      </c>
      <c r="R299" t="s">
        <v>66</v>
      </c>
      <c r="S299" t="s">
        <v>162</v>
      </c>
      <c r="T299">
        <v>2024</v>
      </c>
    </row>
    <row r="300" spans="1:20" x14ac:dyDescent="0.3">
      <c r="A300" t="s">
        <v>636</v>
      </c>
      <c r="B300" t="s">
        <v>343</v>
      </c>
      <c r="C300" t="s">
        <v>136</v>
      </c>
      <c r="D300" t="s">
        <v>69</v>
      </c>
      <c r="E300" t="s">
        <v>70</v>
      </c>
      <c r="F300" t="s">
        <v>37</v>
      </c>
      <c r="G300" t="s">
        <v>38</v>
      </c>
      <c r="H300" t="s">
        <v>140</v>
      </c>
      <c r="I300" t="s">
        <v>40</v>
      </c>
      <c r="J300">
        <v>2</v>
      </c>
      <c r="K300">
        <v>6037.98</v>
      </c>
      <c r="L300">
        <v>5</v>
      </c>
      <c r="M300">
        <v>12075.96</v>
      </c>
      <c r="N300">
        <v>10104.59</v>
      </c>
      <c r="O300">
        <v>1971.37</v>
      </c>
      <c r="P300" t="s">
        <v>113</v>
      </c>
      <c r="Q300">
        <v>3.6</v>
      </c>
      <c r="R300" t="s">
        <v>66</v>
      </c>
      <c r="S300" t="s">
        <v>49</v>
      </c>
      <c r="T300">
        <v>2024</v>
      </c>
    </row>
    <row r="301" spans="1:20" x14ac:dyDescent="0.3">
      <c r="A301" t="s">
        <v>637</v>
      </c>
      <c r="B301" t="s">
        <v>638</v>
      </c>
      <c r="C301" t="s">
        <v>22</v>
      </c>
      <c r="D301" t="s">
        <v>125</v>
      </c>
      <c r="E301" t="s">
        <v>139</v>
      </c>
      <c r="F301" t="s">
        <v>25</v>
      </c>
      <c r="G301" t="s">
        <v>111</v>
      </c>
      <c r="H301" t="s">
        <v>121</v>
      </c>
      <c r="I301" t="s">
        <v>112</v>
      </c>
      <c r="J301">
        <v>3</v>
      </c>
      <c r="K301">
        <v>22747.82</v>
      </c>
      <c r="L301">
        <v>30</v>
      </c>
      <c r="M301">
        <v>68243.460000000006</v>
      </c>
      <c r="N301">
        <v>53776.51</v>
      </c>
      <c r="O301">
        <v>14466.95</v>
      </c>
      <c r="P301" t="s">
        <v>29</v>
      </c>
      <c r="Q301">
        <v>4.5</v>
      </c>
      <c r="R301" t="s">
        <v>30</v>
      </c>
      <c r="S301" t="s">
        <v>31</v>
      </c>
      <c r="T301">
        <v>2024</v>
      </c>
    </row>
    <row r="302" spans="1:20" x14ac:dyDescent="0.3">
      <c r="A302" t="s">
        <v>639</v>
      </c>
      <c r="B302" t="s">
        <v>640</v>
      </c>
      <c r="C302" t="s">
        <v>34</v>
      </c>
      <c r="D302" t="s">
        <v>125</v>
      </c>
      <c r="E302" t="s">
        <v>126</v>
      </c>
      <c r="F302" t="s">
        <v>54</v>
      </c>
      <c r="G302" t="s">
        <v>55</v>
      </c>
      <c r="H302" t="s">
        <v>91</v>
      </c>
      <c r="I302" t="s">
        <v>185</v>
      </c>
      <c r="J302">
        <v>2</v>
      </c>
      <c r="K302">
        <v>26615.919999999998</v>
      </c>
      <c r="L302">
        <v>15</v>
      </c>
      <c r="M302">
        <v>53231.839999999997</v>
      </c>
      <c r="N302">
        <v>42148.13</v>
      </c>
      <c r="O302">
        <v>11083.71</v>
      </c>
      <c r="P302" t="s">
        <v>113</v>
      </c>
      <c r="Q302">
        <v>2.2999999999999998</v>
      </c>
      <c r="R302" t="s">
        <v>30</v>
      </c>
      <c r="S302" t="s">
        <v>119</v>
      </c>
      <c r="T302">
        <v>2024</v>
      </c>
    </row>
    <row r="303" spans="1:20" x14ac:dyDescent="0.3">
      <c r="A303" t="s">
        <v>641</v>
      </c>
      <c r="B303" t="s">
        <v>642</v>
      </c>
      <c r="C303" t="s">
        <v>200</v>
      </c>
      <c r="D303" t="s">
        <v>81</v>
      </c>
      <c r="E303" t="s">
        <v>82</v>
      </c>
      <c r="F303" t="s">
        <v>45</v>
      </c>
      <c r="G303" t="s">
        <v>46</v>
      </c>
      <c r="H303" t="s">
        <v>47</v>
      </c>
      <c r="I303" t="s">
        <v>101</v>
      </c>
      <c r="J303">
        <v>2</v>
      </c>
      <c r="K303">
        <v>48234.31</v>
      </c>
      <c r="L303">
        <v>30</v>
      </c>
      <c r="M303">
        <v>96468.62</v>
      </c>
      <c r="N303">
        <v>66687.72</v>
      </c>
      <c r="O303">
        <v>29780.9</v>
      </c>
      <c r="P303" t="s">
        <v>29</v>
      </c>
      <c r="Q303">
        <v>1.8</v>
      </c>
      <c r="R303" t="s">
        <v>30</v>
      </c>
      <c r="S303" t="s">
        <v>78</v>
      </c>
      <c r="T303">
        <v>2024</v>
      </c>
    </row>
    <row r="304" spans="1:20" x14ac:dyDescent="0.3">
      <c r="A304" t="s">
        <v>643</v>
      </c>
      <c r="B304" t="s">
        <v>423</v>
      </c>
      <c r="C304" t="s">
        <v>80</v>
      </c>
      <c r="D304" t="s">
        <v>69</v>
      </c>
      <c r="E304" t="s">
        <v>155</v>
      </c>
      <c r="F304" t="s">
        <v>62</v>
      </c>
      <c r="G304" t="s">
        <v>71</v>
      </c>
      <c r="H304" t="s">
        <v>83</v>
      </c>
      <c r="I304" t="s">
        <v>165</v>
      </c>
      <c r="J304">
        <v>1</v>
      </c>
      <c r="K304">
        <v>24172.560000000001</v>
      </c>
      <c r="L304">
        <v>5</v>
      </c>
      <c r="M304">
        <v>24172.560000000001</v>
      </c>
      <c r="N304">
        <v>17570.96</v>
      </c>
      <c r="O304">
        <v>6601.6</v>
      </c>
      <c r="P304" t="s">
        <v>41</v>
      </c>
      <c r="Q304">
        <v>3.1</v>
      </c>
      <c r="R304" t="s">
        <v>30</v>
      </c>
      <c r="S304" t="s">
        <v>42</v>
      </c>
      <c r="T304">
        <v>2024</v>
      </c>
    </row>
    <row r="305" spans="1:20" x14ac:dyDescent="0.3">
      <c r="A305" t="s">
        <v>644</v>
      </c>
      <c r="B305" t="s">
        <v>567</v>
      </c>
      <c r="C305" t="s">
        <v>136</v>
      </c>
      <c r="D305" t="s">
        <v>69</v>
      </c>
      <c r="E305" t="s">
        <v>155</v>
      </c>
      <c r="F305" t="s">
        <v>25</v>
      </c>
      <c r="G305" t="s">
        <v>111</v>
      </c>
      <c r="H305" t="s">
        <v>221</v>
      </c>
      <c r="I305" t="s">
        <v>28</v>
      </c>
      <c r="J305">
        <v>3</v>
      </c>
      <c r="K305">
        <v>16385.37</v>
      </c>
      <c r="L305">
        <v>10</v>
      </c>
      <c r="M305">
        <v>49156.11</v>
      </c>
      <c r="N305">
        <v>35317.19</v>
      </c>
      <c r="O305">
        <v>13838.92</v>
      </c>
      <c r="P305" t="s">
        <v>73</v>
      </c>
      <c r="Q305">
        <v>1.6</v>
      </c>
      <c r="R305" t="s">
        <v>30</v>
      </c>
      <c r="S305" t="s">
        <v>102</v>
      </c>
      <c r="T305">
        <v>2024</v>
      </c>
    </row>
    <row r="306" spans="1:20" x14ac:dyDescent="0.3">
      <c r="A306" t="s">
        <v>645</v>
      </c>
      <c r="B306" t="s">
        <v>124</v>
      </c>
      <c r="C306" t="s">
        <v>34</v>
      </c>
      <c r="D306" t="s">
        <v>132</v>
      </c>
      <c r="E306" t="s">
        <v>133</v>
      </c>
      <c r="F306" t="s">
        <v>37</v>
      </c>
      <c r="G306" t="s">
        <v>38</v>
      </c>
      <c r="H306" t="s">
        <v>140</v>
      </c>
      <c r="I306" t="s">
        <v>40</v>
      </c>
      <c r="J306">
        <v>3</v>
      </c>
      <c r="K306">
        <v>29527.22</v>
      </c>
      <c r="L306">
        <v>5</v>
      </c>
      <c r="M306">
        <v>88581.66</v>
      </c>
      <c r="N306">
        <v>70559.8</v>
      </c>
      <c r="O306">
        <v>18021.86</v>
      </c>
      <c r="P306" t="s">
        <v>113</v>
      </c>
      <c r="Q306">
        <v>1.2</v>
      </c>
      <c r="R306" t="s">
        <v>30</v>
      </c>
      <c r="S306" t="s">
        <v>94</v>
      </c>
      <c r="T306">
        <v>2024</v>
      </c>
    </row>
    <row r="307" spans="1:20" x14ac:dyDescent="0.3">
      <c r="A307" t="s">
        <v>646</v>
      </c>
      <c r="B307" t="s">
        <v>257</v>
      </c>
      <c r="C307" t="s">
        <v>90</v>
      </c>
      <c r="D307" t="s">
        <v>98</v>
      </c>
      <c r="E307" t="s">
        <v>99</v>
      </c>
      <c r="F307" t="s">
        <v>62</v>
      </c>
      <c r="G307" t="s">
        <v>63</v>
      </c>
      <c r="H307" t="s">
        <v>83</v>
      </c>
      <c r="I307" t="s">
        <v>165</v>
      </c>
      <c r="J307">
        <v>3</v>
      </c>
      <c r="K307">
        <v>42516.65</v>
      </c>
      <c r="L307">
        <v>25</v>
      </c>
      <c r="M307">
        <v>127549.95</v>
      </c>
      <c r="N307">
        <v>108282.98</v>
      </c>
      <c r="O307">
        <v>19266.97</v>
      </c>
      <c r="P307" t="s">
        <v>144</v>
      </c>
      <c r="Q307">
        <v>1.8</v>
      </c>
      <c r="R307" t="s">
        <v>30</v>
      </c>
      <c r="S307" t="s">
        <v>107</v>
      </c>
      <c r="T307">
        <v>2024</v>
      </c>
    </row>
    <row r="308" spans="1:20" x14ac:dyDescent="0.3">
      <c r="A308" t="s">
        <v>647</v>
      </c>
      <c r="B308" t="s">
        <v>465</v>
      </c>
      <c r="C308" t="s">
        <v>200</v>
      </c>
      <c r="D308" t="s">
        <v>52</v>
      </c>
      <c r="E308" t="s">
        <v>53</v>
      </c>
      <c r="F308" t="s">
        <v>25</v>
      </c>
      <c r="G308" t="s">
        <v>26</v>
      </c>
      <c r="H308" t="s">
        <v>121</v>
      </c>
      <c r="I308" t="s">
        <v>28</v>
      </c>
      <c r="J308">
        <v>5</v>
      </c>
      <c r="K308">
        <v>27175.37</v>
      </c>
      <c r="L308">
        <v>30</v>
      </c>
      <c r="M308">
        <v>135876.85</v>
      </c>
      <c r="N308">
        <v>110851.2</v>
      </c>
      <c r="O308">
        <v>25025.65</v>
      </c>
      <c r="P308" t="s">
        <v>113</v>
      </c>
      <c r="Q308">
        <v>3.9</v>
      </c>
      <c r="R308" t="s">
        <v>30</v>
      </c>
      <c r="S308" t="s">
        <v>162</v>
      </c>
      <c r="T308">
        <v>2024</v>
      </c>
    </row>
    <row r="309" spans="1:20" x14ac:dyDescent="0.3">
      <c r="A309" t="s">
        <v>648</v>
      </c>
      <c r="B309" t="s">
        <v>574</v>
      </c>
      <c r="C309" t="s">
        <v>34</v>
      </c>
      <c r="D309" t="s">
        <v>98</v>
      </c>
      <c r="E309" t="s">
        <v>99</v>
      </c>
      <c r="F309" t="s">
        <v>37</v>
      </c>
      <c r="G309" t="s">
        <v>38</v>
      </c>
      <c r="H309" t="s">
        <v>327</v>
      </c>
      <c r="I309" t="s">
        <v>40</v>
      </c>
      <c r="J309">
        <v>4</v>
      </c>
      <c r="K309">
        <v>25379.68</v>
      </c>
      <c r="L309">
        <v>25</v>
      </c>
      <c r="M309">
        <v>101518.72</v>
      </c>
      <c r="N309">
        <v>75386.33</v>
      </c>
      <c r="O309">
        <v>26132.39</v>
      </c>
      <c r="P309" t="s">
        <v>73</v>
      </c>
      <c r="Q309">
        <v>3.5</v>
      </c>
      <c r="R309" t="s">
        <v>30</v>
      </c>
      <c r="S309" t="s">
        <v>74</v>
      </c>
      <c r="T309">
        <v>2024</v>
      </c>
    </row>
    <row r="310" spans="1:20" x14ac:dyDescent="0.3">
      <c r="A310" t="s">
        <v>649</v>
      </c>
      <c r="B310" t="s">
        <v>305</v>
      </c>
      <c r="C310" t="s">
        <v>116</v>
      </c>
      <c r="D310" t="s">
        <v>81</v>
      </c>
      <c r="E310" t="s">
        <v>149</v>
      </c>
      <c r="F310" t="s">
        <v>25</v>
      </c>
      <c r="G310" t="s">
        <v>111</v>
      </c>
      <c r="H310" t="s">
        <v>27</v>
      </c>
      <c r="I310" t="s">
        <v>28</v>
      </c>
      <c r="J310">
        <v>3</v>
      </c>
      <c r="K310">
        <v>29568.18</v>
      </c>
      <c r="L310">
        <v>5</v>
      </c>
      <c r="M310">
        <v>88704.54</v>
      </c>
      <c r="N310">
        <v>59297.59</v>
      </c>
      <c r="O310">
        <v>29406.95</v>
      </c>
      <c r="P310" t="s">
        <v>122</v>
      </c>
      <c r="Q310">
        <v>1.3</v>
      </c>
      <c r="R310" t="s">
        <v>30</v>
      </c>
      <c r="S310" t="s">
        <v>87</v>
      </c>
      <c r="T310">
        <v>2025</v>
      </c>
    </row>
    <row r="311" spans="1:20" x14ac:dyDescent="0.3">
      <c r="A311" t="s">
        <v>650</v>
      </c>
      <c r="B311" t="s">
        <v>337</v>
      </c>
      <c r="C311" t="s">
        <v>80</v>
      </c>
      <c r="D311" t="s">
        <v>132</v>
      </c>
      <c r="E311" t="s">
        <v>158</v>
      </c>
      <c r="F311" t="s">
        <v>25</v>
      </c>
      <c r="G311" t="s">
        <v>111</v>
      </c>
      <c r="H311" t="s">
        <v>221</v>
      </c>
      <c r="I311" t="s">
        <v>28</v>
      </c>
      <c r="J311">
        <v>2</v>
      </c>
      <c r="K311">
        <v>23562.27</v>
      </c>
      <c r="L311">
        <v>25</v>
      </c>
      <c r="M311">
        <v>47124.54</v>
      </c>
      <c r="N311">
        <v>39528.54</v>
      </c>
      <c r="O311">
        <v>7596</v>
      </c>
      <c r="P311" t="s">
        <v>122</v>
      </c>
      <c r="Q311">
        <v>4.9000000000000004</v>
      </c>
      <c r="R311" t="s">
        <v>30</v>
      </c>
      <c r="S311" t="s">
        <v>42</v>
      </c>
      <c r="T311">
        <v>2024</v>
      </c>
    </row>
    <row r="312" spans="1:20" x14ac:dyDescent="0.3">
      <c r="A312" t="s">
        <v>651</v>
      </c>
      <c r="B312" t="s">
        <v>197</v>
      </c>
      <c r="C312" t="s">
        <v>90</v>
      </c>
      <c r="D312" t="s">
        <v>69</v>
      </c>
      <c r="E312" t="s">
        <v>70</v>
      </c>
      <c r="F312" t="s">
        <v>37</v>
      </c>
      <c r="G312" t="s">
        <v>38</v>
      </c>
      <c r="H312" t="s">
        <v>327</v>
      </c>
      <c r="I312" t="s">
        <v>40</v>
      </c>
      <c r="J312">
        <v>2</v>
      </c>
      <c r="K312">
        <v>19134.259999999998</v>
      </c>
      <c r="L312">
        <v>25</v>
      </c>
      <c r="M312">
        <v>38268.519999999997</v>
      </c>
      <c r="N312">
        <v>27293.69</v>
      </c>
      <c r="O312">
        <v>10974.83</v>
      </c>
      <c r="P312" t="s">
        <v>113</v>
      </c>
      <c r="Q312">
        <v>4.5999999999999996</v>
      </c>
      <c r="R312" t="s">
        <v>30</v>
      </c>
      <c r="S312" t="s">
        <v>102</v>
      </c>
      <c r="T312">
        <v>2024</v>
      </c>
    </row>
    <row r="313" spans="1:20" x14ac:dyDescent="0.3">
      <c r="A313" t="s">
        <v>652</v>
      </c>
      <c r="B313" t="s">
        <v>545</v>
      </c>
      <c r="C313" t="s">
        <v>97</v>
      </c>
      <c r="D313" t="s">
        <v>125</v>
      </c>
      <c r="E313" t="s">
        <v>139</v>
      </c>
      <c r="F313" t="s">
        <v>25</v>
      </c>
      <c r="G313" t="s">
        <v>26</v>
      </c>
      <c r="H313" t="s">
        <v>221</v>
      </c>
      <c r="I313" t="s">
        <v>112</v>
      </c>
      <c r="J313">
        <v>5</v>
      </c>
      <c r="K313">
        <v>10176.11</v>
      </c>
      <c r="L313">
        <v>15</v>
      </c>
      <c r="M313">
        <v>50880.55</v>
      </c>
      <c r="N313">
        <v>38329.31</v>
      </c>
      <c r="O313">
        <v>12551.24</v>
      </c>
      <c r="P313" t="s">
        <v>144</v>
      </c>
      <c r="Q313">
        <v>2.1</v>
      </c>
      <c r="R313" t="s">
        <v>30</v>
      </c>
      <c r="S313" t="s">
        <v>162</v>
      </c>
      <c r="T313">
        <v>2024</v>
      </c>
    </row>
    <row r="314" spans="1:20" x14ac:dyDescent="0.3">
      <c r="A314" t="s">
        <v>653</v>
      </c>
      <c r="B314" t="s">
        <v>450</v>
      </c>
      <c r="C314" t="s">
        <v>34</v>
      </c>
      <c r="D314" t="s">
        <v>98</v>
      </c>
      <c r="E314" t="s">
        <v>99</v>
      </c>
      <c r="F314" t="s">
        <v>54</v>
      </c>
      <c r="G314" t="s">
        <v>91</v>
      </c>
      <c r="H314" t="s">
        <v>179</v>
      </c>
      <c r="I314" t="s">
        <v>57</v>
      </c>
      <c r="J314">
        <v>3</v>
      </c>
      <c r="K314">
        <v>48177.16</v>
      </c>
      <c r="L314">
        <v>5</v>
      </c>
      <c r="M314">
        <v>144531.48000000001</v>
      </c>
      <c r="N314">
        <v>109473.78</v>
      </c>
      <c r="O314">
        <v>35057.699999999997</v>
      </c>
      <c r="P314" t="s">
        <v>144</v>
      </c>
      <c r="Q314">
        <v>1.7</v>
      </c>
      <c r="R314" t="s">
        <v>30</v>
      </c>
      <c r="S314" t="s">
        <v>94</v>
      </c>
      <c r="T314">
        <v>2024</v>
      </c>
    </row>
    <row r="315" spans="1:20" x14ac:dyDescent="0.3">
      <c r="A315" t="s">
        <v>654</v>
      </c>
      <c r="B315" t="s">
        <v>655</v>
      </c>
      <c r="C315" t="s">
        <v>90</v>
      </c>
      <c r="D315" t="s">
        <v>132</v>
      </c>
      <c r="E315" t="s">
        <v>133</v>
      </c>
      <c r="F315" t="s">
        <v>62</v>
      </c>
      <c r="G315" t="s">
        <v>63</v>
      </c>
      <c r="H315" t="s">
        <v>72</v>
      </c>
      <c r="I315" t="s">
        <v>65</v>
      </c>
      <c r="J315">
        <v>5</v>
      </c>
      <c r="K315">
        <v>6119.31</v>
      </c>
      <c r="L315">
        <v>5</v>
      </c>
      <c r="M315">
        <v>30596.55</v>
      </c>
      <c r="N315">
        <v>25250.23</v>
      </c>
      <c r="O315">
        <v>5346.32</v>
      </c>
      <c r="P315" t="s">
        <v>144</v>
      </c>
      <c r="Q315">
        <v>1.5</v>
      </c>
      <c r="R315" t="s">
        <v>30</v>
      </c>
      <c r="S315" t="s">
        <v>94</v>
      </c>
      <c r="T315">
        <v>2024</v>
      </c>
    </row>
    <row r="316" spans="1:20" x14ac:dyDescent="0.3">
      <c r="A316" t="s">
        <v>656</v>
      </c>
      <c r="B316" t="s">
        <v>360</v>
      </c>
      <c r="C316" t="s">
        <v>80</v>
      </c>
      <c r="D316" t="s">
        <v>52</v>
      </c>
      <c r="E316" t="s">
        <v>110</v>
      </c>
      <c r="F316" t="s">
        <v>45</v>
      </c>
      <c r="G316" t="s">
        <v>46</v>
      </c>
      <c r="H316" t="s">
        <v>188</v>
      </c>
      <c r="I316" t="s">
        <v>101</v>
      </c>
      <c r="J316">
        <v>1</v>
      </c>
      <c r="K316">
        <v>6015.13</v>
      </c>
      <c r="L316">
        <v>30</v>
      </c>
      <c r="M316">
        <v>6015.13</v>
      </c>
      <c r="N316">
        <v>4604.1899999999996</v>
      </c>
      <c r="O316">
        <v>1410.94</v>
      </c>
      <c r="P316" t="s">
        <v>122</v>
      </c>
      <c r="Q316">
        <v>1.9</v>
      </c>
      <c r="R316" t="s">
        <v>30</v>
      </c>
      <c r="S316" t="s">
        <v>162</v>
      </c>
      <c r="T316">
        <v>2024</v>
      </c>
    </row>
    <row r="317" spans="1:20" x14ac:dyDescent="0.3">
      <c r="A317" t="s">
        <v>657</v>
      </c>
      <c r="B317" t="s">
        <v>255</v>
      </c>
      <c r="C317" t="s">
        <v>80</v>
      </c>
      <c r="D317" t="s">
        <v>35</v>
      </c>
      <c r="E317" t="s">
        <v>36</v>
      </c>
      <c r="F317" t="s">
        <v>37</v>
      </c>
      <c r="G317" t="s">
        <v>38</v>
      </c>
      <c r="H317" t="s">
        <v>140</v>
      </c>
      <c r="I317" t="s">
        <v>40</v>
      </c>
      <c r="J317">
        <v>4</v>
      </c>
      <c r="K317">
        <v>41198.839999999997</v>
      </c>
      <c r="L317">
        <v>30</v>
      </c>
      <c r="M317">
        <v>164795.35999999999</v>
      </c>
      <c r="N317">
        <v>116949.82</v>
      </c>
      <c r="O317">
        <v>47845.54</v>
      </c>
      <c r="P317" t="s">
        <v>122</v>
      </c>
      <c r="Q317">
        <v>3</v>
      </c>
      <c r="R317" t="s">
        <v>30</v>
      </c>
      <c r="S317" t="s">
        <v>107</v>
      </c>
      <c r="T317">
        <v>2024</v>
      </c>
    </row>
    <row r="318" spans="1:20" x14ac:dyDescent="0.3">
      <c r="A318" t="s">
        <v>658</v>
      </c>
      <c r="B318" t="s">
        <v>659</v>
      </c>
      <c r="C318" t="s">
        <v>80</v>
      </c>
      <c r="D318" t="s">
        <v>35</v>
      </c>
      <c r="E318" t="s">
        <v>36</v>
      </c>
      <c r="F318" t="s">
        <v>25</v>
      </c>
      <c r="G318" t="s">
        <v>26</v>
      </c>
      <c r="H318" t="s">
        <v>129</v>
      </c>
      <c r="I318" t="s">
        <v>28</v>
      </c>
      <c r="J318">
        <v>3</v>
      </c>
      <c r="K318">
        <v>11527.7</v>
      </c>
      <c r="L318">
        <v>20</v>
      </c>
      <c r="M318">
        <v>34583.1</v>
      </c>
      <c r="N318">
        <v>23032.99</v>
      </c>
      <c r="O318">
        <v>11550.11</v>
      </c>
      <c r="P318" t="s">
        <v>144</v>
      </c>
      <c r="Q318">
        <v>1.8</v>
      </c>
      <c r="R318" t="s">
        <v>159</v>
      </c>
      <c r="S318" t="s">
        <v>58</v>
      </c>
      <c r="T318">
        <v>2024</v>
      </c>
    </row>
    <row r="319" spans="1:20" x14ac:dyDescent="0.3">
      <c r="A319" t="s">
        <v>660</v>
      </c>
      <c r="B319" t="s">
        <v>146</v>
      </c>
      <c r="C319" t="s">
        <v>200</v>
      </c>
      <c r="D319" t="s">
        <v>69</v>
      </c>
      <c r="E319" t="s">
        <v>155</v>
      </c>
      <c r="F319" t="s">
        <v>54</v>
      </c>
      <c r="G319" t="s">
        <v>91</v>
      </c>
      <c r="H319" t="s">
        <v>56</v>
      </c>
      <c r="I319" t="s">
        <v>185</v>
      </c>
      <c r="J319">
        <v>4</v>
      </c>
      <c r="K319">
        <v>27749.19</v>
      </c>
      <c r="L319">
        <v>20</v>
      </c>
      <c r="M319">
        <v>110996.76</v>
      </c>
      <c r="N319">
        <v>84453.08</v>
      </c>
      <c r="O319">
        <v>26543.68</v>
      </c>
      <c r="P319" t="s">
        <v>73</v>
      </c>
      <c r="Q319">
        <v>2.5</v>
      </c>
      <c r="R319" t="s">
        <v>30</v>
      </c>
      <c r="S319" t="s">
        <v>87</v>
      </c>
      <c r="T319">
        <v>2025</v>
      </c>
    </row>
    <row r="320" spans="1:20" x14ac:dyDescent="0.3">
      <c r="A320" t="s">
        <v>661</v>
      </c>
      <c r="B320" t="s">
        <v>300</v>
      </c>
      <c r="C320" t="s">
        <v>116</v>
      </c>
      <c r="D320" t="s">
        <v>125</v>
      </c>
      <c r="E320" t="s">
        <v>139</v>
      </c>
      <c r="F320" t="s">
        <v>54</v>
      </c>
      <c r="G320" t="s">
        <v>55</v>
      </c>
      <c r="H320" t="s">
        <v>117</v>
      </c>
      <c r="I320" t="s">
        <v>93</v>
      </c>
      <c r="J320">
        <v>1</v>
      </c>
      <c r="K320">
        <v>14014.82</v>
      </c>
      <c r="L320">
        <v>20</v>
      </c>
      <c r="M320">
        <v>14014.82</v>
      </c>
      <c r="N320">
        <v>11097.57</v>
      </c>
      <c r="O320">
        <v>2917.25</v>
      </c>
      <c r="P320" t="s">
        <v>122</v>
      </c>
      <c r="Q320">
        <v>4.5999999999999996</v>
      </c>
      <c r="R320" t="s">
        <v>66</v>
      </c>
      <c r="S320" t="s">
        <v>58</v>
      </c>
      <c r="T320">
        <v>2024</v>
      </c>
    </row>
    <row r="321" spans="1:20" x14ac:dyDescent="0.3">
      <c r="A321" t="s">
        <v>662</v>
      </c>
      <c r="B321" t="s">
        <v>506</v>
      </c>
      <c r="C321" t="s">
        <v>168</v>
      </c>
      <c r="D321" t="s">
        <v>125</v>
      </c>
      <c r="E321" t="s">
        <v>126</v>
      </c>
      <c r="F321" t="s">
        <v>54</v>
      </c>
      <c r="G321" t="s">
        <v>55</v>
      </c>
      <c r="H321" t="s">
        <v>117</v>
      </c>
      <c r="I321" t="s">
        <v>180</v>
      </c>
      <c r="J321">
        <v>2</v>
      </c>
      <c r="K321">
        <v>23293.14</v>
      </c>
      <c r="L321">
        <v>20</v>
      </c>
      <c r="M321">
        <v>46586.28</v>
      </c>
      <c r="N321">
        <v>34388.43</v>
      </c>
      <c r="O321">
        <v>12197.85</v>
      </c>
      <c r="P321" t="s">
        <v>41</v>
      </c>
      <c r="Q321">
        <v>4.0999999999999996</v>
      </c>
      <c r="R321" t="s">
        <v>30</v>
      </c>
      <c r="S321" t="s">
        <v>119</v>
      </c>
      <c r="T321">
        <v>2024</v>
      </c>
    </row>
    <row r="322" spans="1:20" x14ac:dyDescent="0.3">
      <c r="A322" t="s">
        <v>663</v>
      </c>
      <c r="B322" t="s">
        <v>664</v>
      </c>
      <c r="C322" t="s">
        <v>200</v>
      </c>
      <c r="D322" t="s">
        <v>69</v>
      </c>
      <c r="E322" t="s">
        <v>70</v>
      </c>
      <c r="F322" t="s">
        <v>37</v>
      </c>
      <c r="G322" t="s">
        <v>38</v>
      </c>
      <c r="H322" t="s">
        <v>77</v>
      </c>
      <c r="I322" t="s">
        <v>40</v>
      </c>
      <c r="J322">
        <v>5</v>
      </c>
      <c r="K322">
        <v>38592.49</v>
      </c>
      <c r="L322">
        <v>25</v>
      </c>
      <c r="M322">
        <v>192962.45</v>
      </c>
      <c r="N322">
        <v>132708.9</v>
      </c>
      <c r="O322">
        <v>60253.55</v>
      </c>
      <c r="P322" t="s">
        <v>73</v>
      </c>
      <c r="Q322">
        <v>3.2</v>
      </c>
      <c r="R322" t="s">
        <v>30</v>
      </c>
      <c r="S322" t="s">
        <v>74</v>
      </c>
      <c r="T322">
        <v>2024</v>
      </c>
    </row>
    <row r="323" spans="1:20" x14ac:dyDescent="0.3">
      <c r="A323" t="s">
        <v>665</v>
      </c>
      <c r="B323" t="s">
        <v>431</v>
      </c>
      <c r="C323" t="s">
        <v>116</v>
      </c>
      <c r="D323" t="s">
        <v>98</v>
      </c>
      <c r="E323" t="s">
        <v>99</v>
      </c>
      <c r="F323" t="s">
        <v>54</v>
      </c>
      <c r="G323" t="s">
        <v>228</v>
      </c>
      <c r="H323" t="s">
        <v>117</v>
      </c>
      <c r="I323" t="s">
        <v>118</v>
      </c>
      <c r="J323">
        <v>1</v>
      </c>
      <c r="K323">
        <v>39898.86</v>
      </c>
      <c r="L323">
        <v>15</v>
      </c>
      <c r="M323">
        <v>39898.86</v>
      </c>
      <c r="N323">
        <v>31707.33</v>
      </c>
      <c r="O323">
        <v>8191.53</v>
      </c>
      <c r="P323" t="s">
        <v>73</v>
      </c>
      <c r="Q323">
        <v>1.8</v>
      </c>
      <c r="R323" t="s">
        <v>30</v>
      </c>
      <c r="S323" t="s">
        <v>119</v>
      </c>
      <c r="T323">
        <v>2024</v>
      </c>
    </row>
    <row r="324" spans="1:20" x14ac:dyDescent="0.3">
      <c r="A324" t="s">
        <v>666</v>
      </c>
      <c r="B324" t="s">
        <v>667</v>
      </c>
      <c r="C324" t="s">
        <v>34</v>
      </c>
      <c r="D324" t="s">
        <v>125</v>
      </c>
      <c r="E324" t="s">
        <v>139</v>
      </c>
      <c r="F324" t="s">
        <v>25</v>
      </c>
      <c r="G324" t="s">
        <v>26</v>
      </c>
      <c r="H324" t="s">
        <v>27</v>
      </c>
      <c r="I324" t="s">
        <v>112</v>
      </c>
      <c r="J324">
        <v>2</v>
      </c>
      <c r="K324">
        <v>39842.5</v>
      </c>
      <c r="L324">
        <v>15</v>
      </c>
      <c r="M324">
        <v>79685</v>
      </c>
      <c r="N324">
        <v>52528.69</v>
      </c>
      <c r="O324">
        <v>27156.31</v>
      </c>
      <c r="P324" t="s">
        <v>29</v>
      </c>
      <c r="Q324">
        <v>4.4000000000000004</v>
      </c>
      <c r="R324" t="s">
        <v>30</v>
      </c>
      <c r="S324" t="s">
        <v>74</v>
      </c>
      <c r="T324">
        <v>2024</v>
      </c>
    </row>
    <row r="325" spans="1:20" x14ac:dyDescent="0.3">
      <c r="A325" t="s">
        <v>668</v>
      </c>
      <c r="B325" t="s">
        <v>669</v>
      </c>
      <c r="C325" t="s">
        <v>90</v>
      </c>
      <c r="D325" t="s">
        <v>125</v>
      </c>
      <c r="E325" t="s">
        <v>139</v>
      </c>
      <c r="F325" t="s">
        <v>25</v>
      </c>
      <c r="G325" t="s">
        <v>26</v>
      </c>
      <c r="H325" t="s">
        <v>221</v>
      </c>
      <c r="I325" t="s">
        <v>28</v>
      </c>
      <c r="J325">
        <v>1</v>
      </c>
      <c r="K325">
        <v>30395.25</v>
      </c>
      <c r="L325">
        <v>20</v>
      </c>
      <c r="M325">
        <v>30395.25</v>
      </c>
      <c r="N325">
        <v>24969.59</v>
      </c>
      <c r="O325">
        <v>5425.66</v>
      </c>
      <c r="P325" t="s">
        <v>113</v>
      </c>
      <c r="Q325">
        <v>1.1000000000000001</v>
      </c>
      <c r="R325" t="s">
        <v>159</v>
      </c>
      <c r="S325" t="s">
        <v>107</v>
      </c>
      <c r="T325">
        <v>2024</v>
      </c>
    </row>
    <row r="326" spans="1:20" x14ac:dyDescent="0.3">
      <c r="A326" t="s">
        <v>670</v>
      </c>
      <c r="B326" t="s">
        <v>385</v>
      </c>
      <c r="C326" t="s">
        <v>61</v>
      </c>
      <c r="D326" t="s">
        <v>23</v>
      </c>
      <c r="E326" t="s">
        <v>24</v>
      </c>
      <c r="F326" t="s">
        <v>45</v>
      </c>
      <c r="G326" t="s">
        <v>46</v>
      </c>
      <c r="H326" t="s">
        <v>47</v>
      </c>
      <c r="I326" t="s">
        <v>48</v>
      </c>
      <c r="J326">
        <v>5</v>
      </c>
      <c r="K326">
        <v>36560.32</v>
      </c>
      <c r="L326">
        <v>30</v>
      </c>
      <c r="M326">
        <v>182801.6</v>
      </c>
      <c r="N326">
        <v>127871.03999999999</v>
      </c>
      <c r="O326">
        <v>54930.559999999998</v>
      </c>
      <c r="P326" t="s">
        <v>144</v>
      </c>
      <c r="Q326">
        <v>2.5</v>
      </c>
      <c r="R326" t="s">
        <v>30</v>
      </c>
      <c r="S326" t="s">
        <v>87</v>
      </c>
      <c r="T326">
        <v>2025</v>
      </c>
    </row>
    <row r="327" spans="1:20" x14ac:dyDescent="0.3">
      <c r="A327" t="s">
        <v>671</v>
      </c>
      <c r="B327" t="s">
        <v>672</v>
      </c>
      <c r="C327" t="s">
        <v>200</v>
      </c>
      <c r="D327" t="s">
        <v>98</v>
      </c>
      <c r="E327" t="s">
        <v>99</v>
      </c>
      <c r="F327" t="s">
        <v>62</v>
      </c>
      <c r="G327" t="s">
        <v>63</v>
      </c>
      <c r="H327" t="s">
        <v>64</v>
      </c>
      <c r="I327" t="s">
        <v>165</v>
      </c>
      <c r="J327">
        <v>1</v>
      </c>
      <c r="K327">
        <v>44248.09</v>
      </c>
      <c r="L327">
        <v>20</v>
      </c>
      <c r="M327">
        <v>44248.09</v>
      </c>
      <c r="N327">
        <v>31419.51</v>
      </c>
      <c r="O327">
        <v>12828.58</v>
      </c>
      <c r="P327" t="s">
        <v>144</v>
      </c>
      <c r="Q327">
        <v>3.1</v>
      </c>
      <c r="R327" t="s">
        <v>30</v>
      </c>
      <c r="S327" t="s">
        <v>102</v>
      </c>
      <c r="T327">
        <v>2024</v>
      </c>
    </row>
    <row r="328" spans="1:20" x14ac:dyDescent="0.3">
      <c r="A328" t="s">
        <v>673</v>
      </c>
      <c r="B328" t="s">
        <v>574</v>
      </c>
      <c r="C328" t="s">
        <v>136</v>
      </c>
      <c r="D328" t="s">
        <v>52</v>
      </c>
      <c r="E328" t="s">
        <v>53</v>
      </c>
      <c r="F328" t="s">
        <v>54</v>
      </c>
      <c r="G328" t="s">
        <v>201</v>
      </c>
      <c r="H328" t="s">
        <v>92</v>
      </c>
      <c r="I328" t="s">
        <v>93</v>
      </c>
      <c r="J328">
        <v>1</v>
      </c>
      <c r="K328">
        <v>18386.259999999998</v>
      </c>
      <c r="L328">
        <v>25</v>
      </c>
      <c r="M328">
        <v>18386.259999999998</v>
      </c>
      <c r="N328">
        <v>14516.63</v>
      </c>
      <c r="O328">
        <v>3869.63</v>
      </c>
      <c r="P328" t="s">
        <v>122</v>
      </c>
      <c r="Q328">
        <v>1.4</v>
      </c>
      <c r="R328" t="s">
        <v>30</v>
      </c>
      <c r="S328" t="s">
        <v>74</v>
      </c>
      <c r="T328">
        <v>2024</v>
      </c>
    </row>
    <row r="329" spans="1:20" x14ac:dyDescent="0.3">
      <c r="A329" t="s">
        <v>674</v>
      </c>
      <c r="B329" t="s">
        <v>675</v>
      </c>
      <c r="C329" t="s">
        <v>22</v>
      </c>
      <c r="D329" t="s">
        <v>69</v>
      </c>
      <c r="E329" t="s">
        <v>155</v>
      </c>
      <c r="F329" t="s">
        <v>37</v>
      </c>
      <c r="G329" t="s">
        <v>38</v>
      </c>
      <c r="H329" t="s">
        <v>86</v>
      </c>
      <c r="I329" t="s">
        <v>40</v>
      </c>
      <c r="J329">
        <v>1</v>
      </c>
      <c r="K329">
        <v>33683.4</v>
      </c>
      <c r="L329">
        <v>15</v>
      </c>
      <c r="M329">
        <v>33683.4</v>
      </c>
      <c r="N329">
        <v>22090.560000000001</v>
      </c>
      <c r="O329">
        <v>11592.84</v>
      </c>
      <c r="P329" t="s">
        <v>29</v>
      </c>
      <c r="Q329">
        <v>3.8</v>
      </c>
      <c r="R329" t="s">
        <v>159</v>
      </c>
      <c r="S329" t="s">
        <v>87</v>
      </c>
      <c r="T329">
        <v>2025</v>
      </c>
    </row>
    <row r="330" spans="1:20" x14ac:dyDescent="0.3">
      <c r="A330" t="s">
        <v>676</v>
      </c>
      <c r="B330" t="s">
        <v>677</v>
      </c>
      <c r="C330" t="s">
        <v>136</v>
      </c>
      <c r="D330" t="s">
        <v>52</v>
      </c>
      <c r="E330" t="s">
        <v>110</v>
      </c>
      <c r="F330" t="s">
        <v>45</v>
      </c>
      <c r="G330" t="s">
        <v>46</v>
      </c>
      <c r="H330" t="s">
        <v>176</v>
      </c>
      <c r="I330" t="s">
        <v>48</v>
      </c>
      <c r="J330">
        <v>3</v>
      </c>
      <c r="K330">
        <v>49561.57</v>
      </c>
      <c r="L330">
        <v>10</v>
      </c>
      <c r="M330">
        <v>148684.71</v>
      </c>
      <c r="N330">
        <v>115528.88</v>
      </c>
      <c r="O330">
        <v>33155.83</v>
      </c>
      <c r="P330" t="s">
        <v>144</v>
      </c>
      <c r="Q330">
        <v>3.5</v>
      </c>
      <c r="R330" t="s">
        <v>30</v>
      </c>
      <c r="S330" t="s">
        <v>107</v>
      </c>
      <c r="T330">
        <v>2024</v>
      </c>
    </row>
    <row r="331" spans="1:20" x14ac:dyDescent="0.3">
      <c r="A331" t="s">
        <v>678</v>
      </c>
      <c r="B331" t="s">
        <v>124</v>
      </c>
      <c r="C331" t="s">
        <v>168</v>
      </c>
      <c r="D331" t="s">
        <v>81</v>
      </c>
      <c r="E331" t="s">
        <v>82</v>
      </c>
      <c r="F331" t="s">
        <v>45</v>
      </c>
      <c r="G331" t="s">
        <v>46</v>
      </c>
      <c r="H331" t="s">
        <v>47</v>
      </c>
      <c r="I331" t="s">
        <v>48</v>
      </c>
      <c r="J331">
        <v>2</v>
      </c>
      <c r="K331">
        <v>18551.650000000001</v>
      </c>
      <c r="L331">
        <v>10</v>
      </c>
      <c r="M331">
        <v>37103.300000000003</v>
      </c>
      <c r="N331">
        <v>26500.400000000001</v>
      </c>
      <c r="O331">
        <v>10602.9</v>
      </c>
      <c r="P331" t="s">
        <v>122</v>
      </c>
      <c r="Q331">
        <v>2.6</v>
      </c>
      <c r="R331" t="s">
        <v>30</v>
      </c>
      <c r="S331" t="s">
        <v>94</v>
      </c>
      <c r="T331">
        <v>2024</v>
      </c>
    </row>
    <row r="332" spans="1:20" x14ac:dyDescent="0.3">
      <c r="A332" t="s">
        <v>679</v>
      </c>
      <c r="B332" t="s">
        <v>680</v>
      </c>
      <c r="C332" t="s">
        <v>200</v>
      </c>
      <c r="D332" t="s">
        <v>98</v>
      </c>
      <c r="E332" t="s">
        <v>99</v>
      </c>
      <c r="F332" t="s">
        <v>54</v>
      </c>
      <c r="G332" t="s">
        <v>91</v>
      </c>
      <c r="H332" t="s">
        <v>91</v>
      </c>
      <c r="I332" t="s">
        <v>57</v>
      </c>
      <c r="J332">
        <v>5</v>
      </c>
      <c r="K332">
        <v>12249.35</v>
      </c>
      <c r="L332">
        <v>10</v>
      </c>
      <c r="M332">
        <v>61246.75</v>
      </c>
      <c r="N332">
        <v>49935.83</v>
      </c>
      <c r="O332">
        <v>11310.92</v>
      </c>
      <c r="P332" t="s">
        <v>73</v>
      </c>
      <c r="Q332">
        <v>2.9</v>
      </c>
      <c r="R332" t="s">
        <v>30</v>
      </c>
      <c r="S332" t="s">
        <v>87</v>
      </c>
      <c r="T332">
        <v>2025</v>
      </c>
    </row>
    <row r="333" spans="1:20" x14ac:dyDescent="0.3">
      <c r="A333" t="s">
        <v>681</v>
      </c>
      <c r="B333" t="s">
        <v>187</v>
      </c>
      <c r="C333" t="s">
        <v>97</v>
      </c>
      <c r="D333" t="s">
        <v>81</v>
      </c>
      <c r="E333" t="s">
        <v>82</v>
      </c>
      <c r="F333" t="s">
        <v>37</v>
      </c>
      <c r="G333" t="s">
        <v>38</v>
      </c>
      <c r="H333" t="s">
        <v>39</v>
      </c>
      <c r="I333" t="s">
        <v>40</v>
      </c>
      <c r="J333">
        <v>1</v>
      </c>
      <c r="K333">
        <v>35305.39</v>
      </c>
      <c r="L333">
        <v>25</v>
      </c>
      <c r="M333">
        <v>35305.39</v>
      </c>
      <c r="N333">
        <v>28187.29</v>
      </c>
      <c r="O333">
        <v>7118.1</v>
      </c>
      <c r="P333" t="s">
        <v>41</v>
      </c>
      <c r="Q333">
        <v>2.2000000000000002</v>
      </c>
      <c r="R333" t="s">
        <v>30</v>
      </c>
      <c r="S333" t="s">
        <v>119</v>
      </c>
      <c r="T333">
        <v>2024</v>
      </c>
    </row>
    <row r="334" spans="1:20" x14ac:dyDescent="0.3">
      <c r="A334" t="s">
        <v>682</v>
      </c>
      <c r="B334" t="s">
        <v>683</v>
      </c>
      <c r="C334" t="s">
        <v>22</v>
      </c>
      <c r="D334" t="s">
        <v>98</v>
      </c>
      <c r="E334" t="s">
        <v>99</v>
      </c>
      <c r="F334" t="s">
        <v>54</v>
      </c>
      <c r="G334" t="s">
        <v>228</v>
      </c>
      <c r="H334" t="s">
        <v>56</v>
      </c>
      <c r="I334" t="s">
        <v>57</v>
      </c>
      <c r="J334">
        <v>5</v>
      </c>
      <c r="K334">
        <v>16790.46</v>
      </c>
      <c r="L334">
        <v>30</v>
      </c>
      <c r="M334">
        <v>83952.3</v>
      </c>
      <c r="N334">
        <v>57920.61</v>
      </c>
      <c r="O334">
        <v>26031.69</v>
      </c>
      <c r="P334" t="s">
        <v>144</v>
      </c>
      <c r="Q334">
        <v>4.3</v>
      </c>
      <c r="R334" t="s">
        <v>30</v>
      </c>
      <c r="S334" t="s">
        <v>162</v>
      </c>
      <c r="T334">
        <v>2024</v>
      </c>
    </row>
    <row r="335" spans="1:20" x14ac:dyDescent="0.3">
      <c r="A335" t="s">
        <v>684</v>
      </c>
      <c r="B335" t="s">
        <v>559</v>
      </c>
      <c r="C335" t="s">
        <v>34</v>
      </c>
      <c r="D335" t="s">
        <v>132</v>
      </c>
      <c r="E335" t="s">
        <v>133</v>
      </c>
      <c r="F335" t="s">
        <v>37</v>
      </c>
      <c r="G335" t="s">
        <v>38</v>
      </c>
      <c r="H335" t="s">
        <v>86</v>
      </c>
      <c r="I335" t="s">
        <v>40</v>
      </c>
      <c r="J335">
        <v>4</v>
      </c>
      <c r="K335">
        <v>26096.959999999999</v>
      </c>
      <c r="L335">
        <v>20</v>
      </c>
      <c r="M335">
        <v>104387.84</v>
      </c>
      <c r="N335">
        <v>74283</v>
      </c>
      <c r="O335">
        <v>30104.84</v>
      </c>
      <c r="P335" t="s">
        <v>29</v>
      </c>
      <c r="Q335">
        <v>3.5</v>
      </c>
      <c r="R335" t="s">
        <v>30</v>
      </c>
      <c r="S335" t="s">
        <v>94</v>
      </c>
      <c r="T335">
        <v>2024</v>
      </c>
    </row>
    <row r="336" spans="1:20" x14ac:dyDescent="0.3">
      <c r="A336" t="s">
        <v>685</v>
      </c>
      <c r="B336" t="s">
        <v>135</v>
      </c>
      <c r="C336" t="s">
        <v>90</v>
      </c>
      <c r="D336" t="s">
        <v>23</v>
      </c>
      <c r="E336" t="s">
        <v>24</v>
      </c>
      <c r="F336" t="s">
        <v>25</v>
      </c>
      <c r="G336" t="s">
        <v>111</v>
      </c>
      <c r="H336" t="s">
        <v>235</v>
      </c>
      <c r="I336" t="s">
        <v>28</v>
      </c>
      <c r="J336">
        <v>5</v>
      </c>
      <c r="K336">
        <v>34361.96</v>
      </c>
      <c r="L336">
        <v>15</v>
      </c>
      <c r="M336">
        <v>171809.8</v>
      </c>
      <c r="N336">
        <v>113796.41</v>
      </c>
      <c r="O336">
        <v>58013.39</v>
      </c>
      <c r="P336" t="s">
        <v>144</v>
      </c>
      <c r="Q336">
        <v>4.4000000000000004</v>
      </c>
      <c r="R336" t="s">
        <v>30</v>
      </c>
      <c r="S336" t="s">
        <v>94</v>
      </c>
      <c r="T336">
        <v>2024</v>
      </c>
    </row>
    <row r="337" spans="1:20" x14ac:dyDescent="0.3">
      <c r="A337" t="s">
        <v>686</v>
      </c>
      <c r="B337" t="s">
        <v>687</v>
      </c>
      <c r="C337" t="s">
        <v>116</v>
      </c>
      <c r="D337" t="s">
        <v>81</v>
      </c>
      <c r="E337" t="s">
        <v>128</v>
      </c>
      <c r="F337" t="s">
        <v>62</v>
      </c>
      <c r="G337" t="s">
        <v>63</v>
      </c>
      <c r="H337" t="s">
        <v>83</v>
      </c>
      <c r="I337" t="s">
        <v>143</v>
      </c>
      <c r="J337">
        <v>5</v>
      </c>
      <c r="K337">
        <v>46079.49</v>
      </c>
      <c r="L337">
        <v>15</v>
      </c>
      <c r="M337">
        <v>230397.45</v>
      </c>
      <c r="N337">
        <v>192960</v>
      </c>
      <c r="O337">
        <v>37437.449999999997</v>
      </c>
      <c r="P337" t="s">
        <v>144</v>
      </c>
      <c r="Q337">
        <v>3.7</v>
      </c>
      <c r="R337" t="s">
        <v>30</v>
      </c>
      <c r="S337" t="s">
        <v>102</v>
      </c>
      <c r="T337">
        <v>2024</v>
      </c>
    </row>
    <row r="338" spans="1:20" x14ac:dyDescent="0.3">
      <c r="A338" t="s">
        <v>688</v>
      </c>
      <c r="B338" t="s">
        <v>689</v>
      </c>
      <c r="C338" t="s">
        <v>168</v>
      </c>
      <c r="D338" t="s">
        <v>69</v>
      </c>
      <c r="E338" t="s">
        <v>155</v>
      </c>
      <c r="F338" t="s">
        <v>62</v>
      </c>
      <c r="G338" t="s">
        <v>63</v>
      </c>
      <c r="H338" t="s">
        <v>72</v>
      </c>
      <c r="I338" t="s">
        <v>165</v>
      </c>
      <c r="J338">
        <v>2</v>
      </c>
      <c r="K338">
        <v>47053.440000000002</v>
      </c>
      <c r="L338">
        <v>20</v>
      </c>
      <c r="M338">
        <v>94106.880000000005</v>
      </c>
      <c r="N338">
        <v>63388.23</v>
      </c>
      <c r="O338">
        <v>30718.65</v>
      </c>
      <c r="P338" t="s">
        <v>113</v>
      </c>
      <c r="Q338">
        <v>3</v>
      </c>
      <c r="R338" t="s">
        <v>30</v>
      </c>
      <c r="S338" t="s">
        <v>119</v>
      </c>
      <c r="T338">
        <v>2024</v>
      </c>
    </row>
    <row r="339" spans="1:20" x14ac:dyDescent="0.3">
      <c r="A339" t="s">
        <v>690</v>
      </c>
      <c r="B339" t="s">
        <v>691</v>
      </c>
      <c r="C339" t="s">
        <v>168</v>
      </c>
      <c r="D339" t="s">
        <v>98</v>
      </c>
      <c r="E339" t="s">
        <v>99</v>
      </c>
      <c r="F339" t="s">
        <v>54</v>
      </c>
      <c r="G339" t="s">
        <v>228</v>
      </c>
      <c r="H339" t="s">
        <v>92</v>
      </c>
      <c r="I339" t="s">
        <v>118</v>
      </c>
      <c r="J339">
        <v>3</v>
      </c>
      <c r="K339">
        <v>18905.939999999999</v>
      </c>
      <c r="L339">
        <v>30</v>
      </c>
      <c r="M339">
        <v>56717.82</v>
      </c>
      <c r="N339">
        <v>44167.43</v>
      </c>
      <c r="O339">
        <v>12550.39</v>
      </c>
      <c r="P339" t="s">
        <v>41</v>
      </c>
      <c r="Q339">
        <v>4.5</v>
      </c>
      <c r="R339" t="s">
        <v>30</v>
      </c>
      <c r="S339" t="s">
        <v>162</v>
      </c>
      <c r="T339">
        <v>2024</v>
      </c>
    </row>
    <row r="340" spans="1:20" x14ac:dyDescent="0.3">
      <c r="A340" t="s">
        <v>692</v>
      </c>
      <c r="B340" t="s">
        <v>51</v>
      </c>
      <c r="C340" t="s">
        <v>136</v>
      </c>
      <c r="D340" t="s">
        <v>132</v>
      </c>
      <c r="E340" t="s">
        <v>158</v>
      </c>
      <c r="F340" t="s">
        <v>45</v>
      </c>
      <c r="G340" t="s">
        <v>46</v>
      </c>
      <c r="H340" t="s">
        <v>176</v>
      </c>
      <c r="I340" t="s">
        <v>101</v>
      </c>
      <c r="J340">
        <v>3</v>
      </c>
      <c r="K340">
        <v>30977.18</v>
      </c>
      <c r="L340">
        <v>5</v>
      </c>
      <c r="M340">
        <v>92931.54</v>
      </c>
      <c r="N340">
        <v>64569.25</v>
      </c>
      <c r="O340">
        <v>28362.29</v>
      </c>
      <c r="P340" t="s">
        <v>41</v>
      </c>
      <c r="Q340">
        <v>3.3</v>
      </c>
      <c r="R340" t="s">
        <v>30</v>
      </c>
      <c r="S340" t="s">
        <v>58</v>
      </c>
      <c r="T340">
        <v>2024</v>
      </c>
    </row>
    <row r="341" spans="1:20" x14ac:dyDescent="0.3">
      <c r="A341" t="s">
        <v>693</v>
      </c>
      <c r="B341" t="s">
        <v>352</v>
      </c>
      <c r="C341" t="s">
        <v>136</v>
      </c>
      <c r="D341" t="s">
        <v>125</v>
      </c>
      <c r="E341" t="s">
        <v>126</v>
      </c>
      <c r="F341" t="s">
        <v>62</v>
      </c>
      <c r="G341" t="s">
        <v>63</v>
      </c>
      <c r="H341" t="s">
        <v>83</v>
      </c>
      <c r="I341" t="s">
        <v>65</v>
      </c>
      <c r="J341">
        <v>2</v>
      </c>
      <c r="K341">
        <v>41841.57</v>
      </c>
      <c r="L341">
        <v>25</v>
      </c>
      <c r="M341">
        <v>83683.14</v>
      </c>
      <c r="N341">
        <v>64914.84</v>
      </c>
      <c r="O341">
        <v>18768.3</v>
      </c>
      <c r="P341" t="s">
        <v>113</v>
      </c>
      <c r="Q341">
        <v>1.1000000000000001</v>
      </c>
      <c r="R341" t="s">
        <v>30</v>
      </c>
      <c r="S341" t="s">
        <v>49</v>
      </c>
      <c r="T341">
        <v>2024</v>
      </c>
    </row>
    <row r="342" spans="1:20" x14ac:dyDescent="0.3">
      <c r="A342" t="s">
        <v>694</v>
      </c>
      <c r="B342" t="s">
        <v>543</v>
      </c>
      <c r="C342" t="s">
        <v>34</v>
      </c>
      <c r="D342" t="s">
        <v>81</v>
      </c>
      <c r="E342" t="s">
        <v>128</v>
      </c>
      <c r="F342" t="s">
        <v>54</v>
      </c>
      <c r="G342" t="s">
        <v>201</v>
      </c>
      <c r="H342" t="s">
        <v>179</v>
      </c>
      <c r="I342" t="s">
        <v>180</v>
      </c>
      <c r="J342">
        <v>4</v>
      </c>
      <c r="K342">
        <v>4277.1499999999996</v>
      </c>
      <c r="L342">
        <v>25</v>
      </c>
      <c r="M342">
        <v>17108.599999999999</v>
      </c>
      <c r="N342">
        <v>13376.05</v>
      </c>
      <c r="O342">
        <v>3732.55</v>
      </c>
      <c r="P342" t="s">
        <v>113</v>
      </c>
      <c r="Q342">
        <v>2.1</v>
      </c>
      <c r="R342" t="s">
        <v>30</v>
      </c>
      <c r="S342" t="s">
        <v>162</v>
      </c>
      <c r="T342">
        <v>2024</v>
      </c>
    </row>
    <row r="343" spans="1:20" x14ac:dyDescent="0.3">
      <c r="A343" t="s">
        <v>695</v>
      </c>
      <c r="B343" t="s">
        <v>382</v>
      </c>
      <c r="C343" t="s">
        <v>80</v>
      </c>
      <c r="D343" t="s">
        <v>81</v>
      </c>
      <c r="E343" t="s">
        <v>82</v>
      </c>
      <c r="F343" t="s">
        <v>62</v>
      </c>
      <c r="G343" t="s">
        <v>63</v>
      </c>
      <c r="H343" t="s">
        <v>271</v>
      </c>
      <c r="I343" t="s">
        <v>143</v>
      </c>
      <c r="J343">
        <v>2</v>
      </c>
      <c r="K343">
        <v>15648.85</v>
      </c>
      <c r="L343">
        <v>10</v>
      </c>
      <c r="M343">
        <v>31297.7</v>
      </c>
      <c r="N343">
        <v>24088.22</v>
      </c>
      <c r="O343">
        <v>7209.48</v>
      </c>
      <c r="P343" t="s">
        <v>122</v>
      </c>
      <c r="Q343">
        <v>4.4000000000000004</v>
      </c>
      <c r="R343" t="s">
        <v>30</v>
      </c>
      <c r="S343" t="s">
        <v>102</v>
      </c>
      <c r="T343">
        <v>2025</v>
      </c>
    </row>
    <row r="344" spans="1:20" x14ac:dyDescent="0.3">
      <c r="A344" t="s">
        <v>696</v>
      </c>
      <c r="B344" t="s">
        <v>208</v>
      </c>
      <c r="C344" t="s">
        <v>168</v>
      </c>
      <c r="D344" t="s">
        <v>23</v>
      </c>
      <c r="E344" t="s">
        <v>24</v>
      </c>
      <c r="F344" t="s">
        <v>54</v>
      </c>
      <c r="G344" t="s">
        <v>201</v>
      </c>
      <c r="H344" t="s">
        <v>91</v>
      </c>
      <c r="I344" t="s">
        <v>180</v>
      </c>
      <c r="J344">
        <v>3</v>
      </c>
      <c r="K344">
        <v>26992.720000000001</v>
      </c>
      <c r="L344">
        <v>15</v>
      </c>
      <c r="M344">
        <v>80978.16</v>
      </c>
      <c r="N344">
        <v>55000.83</v>
      </c>
      <c r="O344">
        <v>25977.33</v>
      </c>
      <c r="P344" t="s">
        <v>73</v>
      </c>
      <c r="Q344">
        <v>1.1000000000000001</v>
      </c>
      <c r="R344" t="s">
        <v>30</v>
      </c>
      <c r="S344" t="s">
        <v>102</v>
      </c>
      <c r="T344">
        <v>2024</v>
      </c>
    </row>
    <row r="345" spans="1:20" x14ac:dyDescent="0.3">
      <c r="A345" t="s">
        <v>697</v>
      </c>
      <c r="B345" t="s">
        <v>698</v>
      </c>
      <c r="C345" t="s">
        <v>168</v>
      </c>
      <c r="D345" t="s">
        <v>132</v>
      </c>
      <c r="E345" t="s">
        <v>158</v>
      </c>
      <c r="F345" t="s">
        <v>54</v>
      </c>
      <c r="G345" t="s">
        <v>55</v>
      </c>
      <c r="H345" t="s">
        <v>91</v>
      </c>
      <c r="I345" t="s">
        <v>93</v>
      </c>
      <c r="J345">
        <v>4</v>
      </c>
      <c r="K345">
        <v>49586.31</v>
      </c>
      <c r="L345">
        <v>20</v>
      </c>
      <c r="M345">
        <v>198345.24</v>
      </c>
      <c r="N345">
        <v>136712.13</v>
      </c>
      <c r="O345">
        <v>61633.11</v>
      </c>
      <c r="P345" t="s">
        <v>41</v>
      </c>
      <c r="Q345">
        <v>4.3</v>
      </c>
      <c r="R345" t="s">
        <v>30</v>
      </c>
      <c r="S345" t="s">
        <v>49</v>
      </c>
      <c r="T345">
        <v>2024</v>
      </c>
    </row>
    <row r="346" spans="1:20" x14ac:dyDescent="0.3">
      <c r="A346" t="s">
        <v>699</v>
      </c>
      <c r="B346" t="s">
        <v>354</v>
      </c>
      <c r="C346" t="s">
        <v>90</v>
      </c>
      <c r="D346" t="s">
        <v>23</v>
      </c>
      <c r="E346" t="s">
        <v>24</v>
      </c>
      <c r="F346" t="s">
        <v>54</v>
      </c>
      <c r="G346" t="s">
        <v>91</v>
      </c>
      <c r="H346" t="s">
        <v>92</v>
      </c>
      <c r="I346" t="s">
        <v>93</v>
      </c>
      <c r="J346">
        <v>1</v>
      </c>
      <c r="K346">
        <v>37181.040000000001</v>
      </c>
      <c r="L346">
        <v>15</v>
      </c>
      <c r="M346">
        <v>37181.040000000001</v>
      </c>
      <c r="N346">
        <v>27547.48</v>
      </c>
      <c r="O346">
        <v>9633.56</v>
      </c>
      <c r="P346" t="s">
        <v>73</v>
      </c>
      <c r="Q346">
        <v>1.2</v>
      </c>
      <c r="R346" t="s">
        <v>30</v>
      </c>
      <c r="S346" t="s">
        <v>94</v>
      </c>
      <c r="T346">
        <v>2024</v>
      </c>
    </row>
    <row r="347" spans="1:20" x14ac:dyDescent="0.3">
      <c r="A347" t="s">
        <v>700</v>
      </c>
      <c r="B347" t="s">
        <v>701</v>
      </c>
      <c r="C347" t="s">
        <v>90</v>
      </c>
      <c r="D347" t="s">
        <v>23</v>
      </c>
      <c r="E347" t="s">
        <v>24</v>
      </c>
      <c r="F347" t="s">
        <v>37</v>
      </c>
      <c r="G347" t="s">
        <v>38</v>
      </c>
      <c r="H347" t="s">
        <v>77</v>
      </c>
      <c r="I347" t="s">
        <v>40</v>
      </c>
      <c r="J347">
        <v>4</v>
      </c>
      <c r="K347">
        <v>46090.65</v>
      </c>
      <c r="L347">
        <v>10</v>
      </c>
      <c r="M347">
        <v>184362.6</v>
      </c>
      <c r="N347">
        <v>144522.42000000001</v>
      </c>
      <c r="O347">
        <v>39840.18</v>
      </c>
      <c r="P347" t="s">
        <v>41</v>
      </c>
      <c r="Q347">
        <v>3.3</v>
      </c>
      <c r="R347" t="s">
        <v>30</v>
      </c>
      <c r="S347" t="s">
        <v>87</v>
      </c>
      <c r="T347">
        <v>2025</v>
      </c>
    </row>
    <row r="348" spans="1:20" x14ac:dyDescent="0.3">
      <c r="A348" t="s">
        <v>702</v>
      </c>
      <c r="B348" t="s">
        <v>157</v>
      </c>
      <c r="C348" t="s">
        <v>61</v>
      </c>
      <c r="D348" t="s">
        <v>52</v>
      </c>
      <c r="E348" t="s">
        <v>110</v>
      </c>
      <c r="F348" t="s">
        <v>25</v>
      </c>
      <c r="G348" t="s">
        <v>26</v>
      </c>
      <c r="H348" t="s">
        <v>27</v>
      </c>
      <c r="I348" t="s">
        <v>28</v>
      </c>
      <c r="J348">
        <v>4</v>
      </c>
      <c r="K348">
        <v>48151.09</v>
      </c>
      <c r="L348">
        <v>5</v>
      </c>
      <c r="M348">
        <v>192604.36</v>
      </c>
      <c r="N348">
        <v>140758.46</v>
      </c>
      <c r="O348">
        <v>51845.9</v>
      </c>
      <c r="P348" t="s">
        <v>41</v>
      </c>
      <c r="Q348">
        <v>2.9</v>
      </c>
      <c r="R348" t="s">
        <v>30</v>
      </c>
      <c r="S348" t="s">
        <v>78</v>
      </c>
      <c r="T348">
        <v>2024</v>
      </c>
    </row>
    <row r="349" spans="1:20" x14ac:dyDescent="0.3">
      <c r="A349" t="s">
        <v>703</v>
      </c>
      <c r="B349" t="s">
        <v>704</v>
      </c>
      <c r="C349" t="s">
        <v>136</v>
      </c>
      <c r="D349" t="s">
        <v>52</v>
      </c>
      <c r="E349" t="s">
        <v>53</v>
      </c>
      <c r="F349" t="s">
        <v>54</v>
      </c>
      <c r="G349" t="s">
        <v>55</v>
      </c>
      <c r="H349" t="s">
        <v>56</v>
      </c>
      <c r="I349" t="s">
        <v>57</v>
      </c>
      <c r="J349">
        <v>2</v>
      </c>
      <c r="K349">
        <v>8197.4699999999993</v>
      </c>
      <c r="L349">
        <v>10</v>
      </c>
      <c r="M349">
        <v>16394.939999999999</v>
      </c>
      <c r="N349">
        <v>10729.15</v>
      </c>
      <c r="O349">
        <v>5665.79</v>
      </c>
      <c r="P349" t="s">
        <v>73</v>
      </c>
      <c r="Q349">
        <v>3</v>
      </c>
      <c r="R349" t="s">
        <v>30</v>
      </c>
      <c r="S349" t="s">
        <v>31</v>
      </c>
      <c r="T349">
        <v>2024</v>
      </c>
    </row>
    <row r="350" spans="1:20" x14ac:dyDescent="0.3">
      <c r="A350" t="s">
        <v>705</v>
      </c>
      <c r="B350" t="s">
        <v>600</v>
      </c>
      <c r="C350" t="s">
        <v>200</v>
      </c>
      <c r="D350" t="s">
        <v>125</v>
      </c>
      <c r="E350" t="s">
        <v>139</v>
      </c>
      <c r="F350" t="s">
        <v>62</v>
      </c>
      <c r="G350" t="s">
        <v>63</v>
      </c>
      <c r="H350" t="s">
        <v>64</v>
      </c>
      <c r="I350" t="s">
        <v>143</v>
      </c>
      <c r="J350">
        <v>2</v>
      </c>
      <c r="K350">
        <v>40679.29</v>
      </c>
      <c r="L350">
        <v>5</v>
      </c>
      <c r="M350">
        <v>81358.58</v>
      </c>
      <c r="N350">
        <v>64207.13</v>
      </c>
      <c r="O350">
        <v>17151.45</v>
      </c>
      <c r="P350" t="s">
        <v>73</v>
      </c>
      <c r="Q350">
        <v>1.5</v>
      </c>
      <c r="R350" t="s">
        <v>30</v>
      </c>
      <c r="S350" t="s">
        <v>78</v>
      </c>
      <c r="T350">
        <v>2024</v>
      </c>
    </row>
    <row r="351" spans="1:20" x14ac:dyDescent="0.3">
      <c r="A351" t="s">
        <v>706</v>
      </c>
      <c r="B351" t="s">
        <v>707</v>
      </c>
      <c r="C351" t="s">
        <v>61</v>
      </c>
      <c r="D351" t="s">
        <v>35</v>
      </c>
      <c r="E351" t="s">
        <v>36</v>
      </c>
      <c r="F351" t="s">
        <v>45</v>
      </c>
      <c r="G351" t="s">
        <v>105</v>
      </c>
      <c r="H351" t="s">
        <v>100</v>
      </c>
      <c r="I351" t="s">
        <v>101</v>
      </c>
      <c r="J351">
        <v>3</v>
      </c>
      <c r="K351">
        <v>45012.71</v>
      </c>
      <c r="L351">
        <v>10</v>
      </c>
      <c r="M351">
        <v>135038.13</v>
      </c>
      <c r="N351">
        <v>114274.09</v>
      </c>
      <c r="O351">
        <v>20764.04</v>
      </c>
      <c r="P351" t="s">
        <v>41</v>
      </c>
      <c r="Q351">
        <v>4.9000000000000004</v>
      </c>
      <c r="R351" t="s">
        <v>30</v>
      </c>
      <c r="S351" t="s">
        <v>74</v>
      </c>
      <c r="T351">
        <v>2024</v>
      </c>
    </row>
    <row r="352" spans="1:20" x14ac:dyDescent="0.3">
      <c r="A352" t="s">
        <v>708</v>
      </c>
      <c r="B352" t="s">
        <v>603</v>
      </c>
      <c r="C352" t="s">
        <v>200</v>
      </c>
      <c r="D352" t="s">
        <v>125</v>
      </c>
      <c r="E352" t="s">
        <v>126</v>
      </c>
      <c r="F352" t="s">
        <v>45</v>
      </c>
      <c r="G352" t="s">
        <v>105</v>
      </c>
      <c r="H352" t="s">
        <v>100</v>
      </c>
      <c r="I352" t="s">
        <v>48</v>
      </c>
      <c r="J352">
        <v>3</v>
      </c>
      <c r="K352">
        <v>5127.0200000000004</v>
      </c>
      <c r="L352">
        <v>30</v>
      </c>
      <c r="M352">
        <v>15381.06</v>
      </c>
      <c r="N352">
        <v>10754.39</v>
      </c>
      <c r="O352">
        <v>4626.67</v>
      </c>
      <c r="P352" t="s">
        <v>29</v>
      </c>
      <c r="Q352">
        <v>4.5</v>
      </c>
      <c r="R352" t="s">
        <v>30</v>
      </c>
      <c r="S352" t="s">
        <v>102</v>
      </c>
      <c r="T352">
        <v>2025</v>
      </c>
    </row>
    <row r="353" spans="1:20" x14ac:dyDescent="0.3">
      <c r="A353" t="s">
        <v>709</v>
      </c>
      <c r="B353" t="s">
        <v>305</v>
      </c>
      <c r="C353" t="s">
        <v>97</v>
      </c>
      <c r="D353" t="s">
        <v>81</v>
      </c>
      <c r="E353" t="s">
        <v>128</v>
      </c>
      <c r="F353" t="s">
        <v>54</v>
      </c>
      <c r="G353" t="s">
        <v>55</v>
      </c>
      <c r="H353" t="s">
        <v>179</v>
      </c>
      <c r="I353" t="s">
        <v>296</v>
      </c>
      <c r="J353">
        <v>3</v>
      </c>
      <c r="K353">
        <v>13954.48</v>
      </c>
      <c r="L353">
        <v>5</v>
      </c>
      <c r="M353">
        <v>41863.440000000002</v>
      </c>
      <c r="N353">
        <v>35155.61</v>
      </c>
      <c r="O353">
        <v>6707.83</v>
      </c>
      <c r="P353" t="s">
        <v>41</v>
      </c>
      <c r="Q353">
        <v>1.5</v>
      </c>
      <c r="R353" t="s">
        <v>30</v>
      </c>
      <c r="S353" t="s">
        <v>87</v>
      </c>
      <c r="T353">
        <v>2025</v>
      </c>
    </row>
    <row r="354" spans="1:20" x14ac:dyDescent="0.3">
      <c r="A354" t="s">
        <v>710</v>
      </c>
      <c r="B354" t="s">
        <v>578</v>
      </c>
      <c r="C354" t="s">
        <v>97</v>
      </c>
      <c r="D354" t="s">
        <v>81</v>
      </c>
      <c r="E354" t="s">
        <v>82</v>
      </c>
      <c r="F354" t="s">
        <v>37</v>
      </c>
      <c r="G354" t="s">
        <v>38</v>
      </c>
      <c r="H354" t="s">
        <v>140</v>
      </c>
      <c r="I354" t="s">
        <v>40</v>
      </c>
      <c r="J354">
        <v>4</v>
      </c>
      <c r="K354">
        <v>26166.89</v>
      </c>
      <c r="L354">
        <v>5</v>
      </c>
      <c r="M354">
        <v>104667.56</v>
      </c>
      <c r="N354">
        <v>69150.490000000005</v>
      </c>
      <c r="O354">
        <v>35517.07</v>
      </c>
      <c r="P354" t="s">
        <v>122</v>
      </c>
      <c r="Q354">
        <v>3.7</v>
      </c>
      <c r="R354" t="s">
        <v>30</v>
      </c>
      <c r="S354" t="s">
        <v>31</v>
      </c>
      <c r="T354">
        <v>2024</v>
      </c>
    </row>
    <row r="355" spans="1:20" x14ac:dyDescent="0.3">
      <c r="A355" t="s">
        <v>711</v>
      </c>
      <c r="B355" t="s">
        <v>712</v>
      </c>
      <c r="C355" t="s">
        <v>22</v>
      </c>
      <c r="D355" t="s">
        <v>125</v>
      </c>
      <c r="E355" t="s">
        <v>139</v>
      </c>
      <c r="F355" t="s">
        <v>45</v>
      </c>
      <c r="G355" t="s">
        <v>46</v>
      </c>
      <c r="H355" t="s">
        <v>176</v>
      </c>
      <c r="I355" t="s">
        <v>101</v>
      </c>
      <c r="J355">
        <v>2</v>
      </c>
      <c r="K355">
        <v>45072.69</v>
      </c>
      <c r="L355">
        <v>10</v>
      </c>
      <c r="M355">
        <v>90145.38</v>
      </c>
      <c r="N355">
        <v>62723</v>
      </c>
      <c r="O355">
        <v>27422.38</v>
      </c>
      <c r="P355" t="s">
        <v>73</v>
      </c>
      <c r="Q355">
        <v>2.6</v>
      </c>
      <c r="R355" t="s">
        <v>30</v>
      </c>
      <c r="S355" t="s">
        <v>42</v>
      </c>
      <c r="T355">
        <v>2024</v>
      </c>
    </row>
    <row r="356" spans="1:20" x14ac:dyDescent="0.3">
      <c r="A356" t="s">
        <v>713</v>
      </c>
      <c r="B356" t="s">
        <v>714</v>
      </c>
      <c r="C356" t="s">
        <v>97</v>
      </c>
      <c r="D356" t="s">
        <v>69</v>
      </c>
      <c r="E356" t="s">
        <v>70</v>
      </c>
      <c r="F356" t="s">
        <v>37</v>
      </c>
      <c r="G356" t="s">
        <v>38</v>
      </c>
      <c r="H356" t="s">
        <v>140</v>
      </c>
      <c r="I356" t="s">
        <v>40</v>
      </c>
      <c r="J356">
        <v>2</v>
      </c>
      <c r="K356">
        <v>33543.19</v>
      </c>
      <c r="L356">
        <v>15</v>
      </c>
      <c r="M356">
        <v>67086.38</v>
      </c>
      <c r="N356">
        <v>54032.41</v>
      </c>
      <c r="O356">
        <v>13053.97</v>
      </c>
      <c r="P356" t="s">
        <v>41</v>
      </c>
      <c r="Q356">
        <v>3.7</v>
      </c>
      <c r="R356" t="s">
        <v>30</v>
      </c>
      <c r="S356" t="s">
        <v>94</v>
      </c>
      <c r="T356">
        <v>2024</v>
      </c>
    </row>
    <row r="357" spans="1:20" x14ac:dyDescent="0.3">
      <c r="A357" t="s">
        <v>715</v>
      </c>
      <c r="B357" t="s">
        <v>716</v>
      </c>
      <c r="C357" t="s">
        <v>200</v>
      </c>
      <c r="D357" t="s">
        <v>52</v>
      </c>
      <c r="E357" t="s">
        <v>53</v>
      </c>
      <c r="F357" t="s">
        <v>25</v>
      </c>
      <c r="G357" t="s">
        <v>111</v>
      </c>
      <c r="H357" t="s">
        <v>235</v>
      </c>
      <c r="I357" t="s">
        <v>28</v>
      </c>
      <c r="J357">
        <v>3</v>
      </c>
      <c r="K357">
        <v>34116.230000000003</v>
      </c>
      <c r="L357">
        <v>30</v>
      </c>
      <c r="M357">
        <v>102348.69</v>
      </c>
      <c r="N357">
        <v>82504.08</v>
      </c>
      <c r="O357">
        <v>19844.61</v>
      </c>
      <c r="P357" t="s">
        <v>73</v>
      </c>
      <c r="Q357">
        <v>1.4</v>
      </c>
      <c r="R357" t="s">
        <v>30</v>
      </c>
      <c r="S357" t="s">
        <v>94</v>
      </c>
      <c r="T357">
        <v>2024</v>
      </c>
    </row>
    <row r="358" spans="1:20" x14ac:dyDescent="0.3">
      <c r="A358" t="s">
        <v>717</v>
      </c>
      <c r="B358" t="s">
        <v>442</v>
      </c>
      <c r="C358" t="s">
        <v>34</v>
      </c>
      <c r="D358" t="s">
        <v>23</v>
      </c>
      <c r="E358" t="s">
        <v>24</v>
      </c>
      <c r="F358" t="s">
        <v>25</v>
      </c>
      <c r="G358" t="s">
        <v>111</v>
      </c>
      <c r="H358" t="s">
        <v>235</v>
      </c>
      <c r="I358" t="s">
        <v>28</v>
      </c>
      <c r="J358">
        <v>5</v>
      </c>
      <c r="K358">
        <v>15466.4</v>
      </c>
      <c r="L358">
        <v>5</v>
      </c>
      <c r="M358">
        <v>77332</v>
      </c>
      <c r="N358">
        <v>56593.02</v>
      </c>
      <c r="O358">
        <v>20738.98</v>
      </c>
      <c r="P358" t="s">
        <v>73</v>
      </c>
      <c r="Q358">
        <v>2.9</v>
      </c>
      <c r="R358" t="s">
        <v>30</v>
      </c>
      <c r="S358" t="s">
        <v>78</v>
      </c>
      <c r="T358">
        <v>2024</v>
      </c>
    </row>
    <row r="359" spans="1:20" x14ac:dyDescent="0.3">
      <c r="A359" t="s">
        <v>718</v>
      </c>
      <c r="B359" t="s">
        <v>719</v>
      </c>
      <c r="C359" t="s">
        <v>97</v>
      </c>
      <c r="D359" t="s">
        <v>98</v>
      </c>
      <c r="E359" t="s">
        <v>99</v>
      </c>
      <c r="F359" t="s">
        <v>54</v>
      </c>
      <c r="G359" t="s">
        <v>228</v>
      </c>
      <c r="H359" t="s">
        <v>179</v>
      </c>
      <c r="I359" t="s">
        <v>118</v>
      </c>
      <c r="J359">
        <v>4</v>
      </c>
      <c r="K359">
        <v>19879.400000000001</v>
      </c>
      <c r="L359">
        <v>10</v>
      </c>
      <c r="M359">
        <v>79517.600000000006</v>
      </c>
      <c r="N359">
        <v>54208.94</v>
      </c>
      <c r="O359">
        <v>25308.66</v>
      </c>
      <c r="P359" t="s">
        <v>29</v>
      </c>
      <c r="Q359">
        <v>3.2</v>
      </c>
      <c r="R359" t="s">
        <v>30</v>
      </c>
      <c r="S359" t="s">
        <v>94</v>
      </c>
      <c r="T359">
        <v>2024</v>
      </c>
    </row>
    <row r="360" spans="1:20" x14ac:dyDescent="0.3">
      <c r="A360" t="s">
        <v>720</v>
      </c>
      <c r="B360" t="s">
        <v>187</v>
      </c>
      <c r="C360" t="s">
        <v>97</v>
      </c>
      <c r="D360" t="s">
        <v>23</v>
      </c>
      <c r="E360" t="s">
        <v>24</v>
      </c>
      <c r="F360" t="s">
        <v>62</v>
      </c>
      <c r="G360" t="s">
        <v>71</v>
      </c>
      <c r="H360" t="s">
        <v>271</v>
      </c>
      <c r="I360" t="s">
        <v>143</v>
      </c>
      <c r="J360">
        <v>2</v>
      </c>
      <c r="K360">
        <v>11914.15</v>
      </c>
      <c r="L360">
        <v>20</v>
      </c>
      <c r="M360">
        <v>23828.3</v>
      </c>
      <c r="N360">
        <v>16762.55</v>
      </c>
      <c r="O360">
        <v>7065.75</v>
      </c>
      <c r="P360" t="s">
        <v>73</v>
      </c>
      <c r="Q360">
        <v>2.4</v>
      </c>
      <c r="R360" t="s">
        <v>30</v>
      </c>
      <c r="S360" t="s">
        <v>119</v>
      </c>
      <c r="T360">
        <v>2024</v>
      </c>
    </row>
    <row r="361" spans="1:20" x14ac:dyDescent="0.3">
      <c r="A361" t="s">
        <v>721</v>
      </c>
      <c r="B361" t="s">
        <v>722</v>
      </c>
      <c r="C361" t="s">
        <v>90</v>
      </c>
      <c r="D361" t="s">
        <v>132</v>
      </c>
      <c r="E361" t="s">
        <v>158</v>
      </c>
      <c r="F361" t="s">
        <v>37</v>
      </c>
      <c r="G361" t="s">
        <v>38</v>
      </c>
      <c r="H361" t="s">
        <v>327</v>
      </c>
      <c r="I361" t="s">
        <v>40</v>
      </c>
      <c r="J361">
        <v>4</v>
      </c>
      <c r="K361">
        <v>7936.32</v>
      </c>
      <c r="L361">
        <v>30</v>
      </c>
      <c r="M361">
        <v>31745.279999999999</v>
      </c>
      <c r="N361">
        <v>25365.54</v>
      </c>
      <c r="O361">
        <v>6379.74</v>
      </c>
      <c r="P361" t="s">
        <v>122</v>
      </c>
      <c r="Q361">
        <v>1.5</v>
      </c>
      <c r="R361" t="s">
        <v>159</v>
      </c>
      <c r="S361" t="s">
        <v>31</v>
      </c>
      <c r="T361">
        <v>2024</v>
      </c>
    </row>
    <row r="362" spans="1:20" x14ac:dyDescent="0.3">
      <c r="A362" t="s">
        <v>723</v>
      </c>
      <c r="B362" t="s">
        <v>576</v>
      </c>
      <c r="C362" t="s">
        <v>22</v>
      </c>
      <c r="D362" t="s">
        <v>23</v>
      </c>
      <c r="E362" t="s">
        <v>24</v>
      </c>
      <c r="F362" t="s">
        <v>25</v>
      </c>
      <c r="G362" t="s">
        <v>26</v>
      </c>
      <c r="H362" t="s">
        <v>27</v>
      </c>
      <c r="I362" t="s">
        <v>28</v>
      </c>
      <c r="J362">
        <v>2</v>
      </c>
      <c r="K362">
        <v>7633.85</v>
      </c>
      <c r="L362">
        <v>10</v>
      </c>
      <c r="M362">
        <v>15267.7</v>
      </c>
      <c r="N362">
        <v>10375.07</v>
      </c>
      <c r="O362">
        <v>4892.63</v>
      </c>
      <c r="P362" t="s">
        <v>144</v>
      </c>
      <c r="Q362">
        <v>3.8</v>
      </c>
      <c r="R362" t="s">
        <v>30</v>
      </c>
      <c r="S362" t="s">
        <v>31</v>
      </c>
      <c r="T362">
        <v>2024</v>
      </c>
    </row>
    <row r="363" spans="1:20" x14ac:dyDescent="0.3">
      <c r="A363" t="s">
        <v>724</v>
      </c>
      <c r="B363" t="s">
        <v>725</v>
      </c>
      <c r="C363" t="s">
        <v>61</v>
      </c>
      <c r="D363" t="s">
        <v>132</v>
      </c>
      <c r="E363" t="s">
        <v>133</v>
      </c>
      <c r="F363" t="s">
        <v>45</v>
      </c>
      <c r="G363" t="s">
        <v>46</v>
      </c>
      <c r="H363" t="s">
        <v>47</v>
      </c>
      <c r="I363" t="s">
        <v>101</v>
      </c>
      <c r="J363">
        <v>4</v>
      </c>
      <c r="K363">
        <v>2470.8200000000002</v>
      </c>
      <c r="L363">
        <v>10</v>
      </c>
      <c r="M363">
        <v>9883.2800000000007</v>
      </c>
      <c r="N363">
        <v>6460.61</v>
      </c>
      <c r="O363">
        <v>3422.67</v>
      </c>
      <c r="P363" t="s">
        <v>41</v>
      </c>
      <c r="Q363">
        <v>2</v>
      </c>
      <c r="R363" t="s">
        <v>30</v>
      </c>
      <c r="S363" t="s">
        <v>49</v>
      </c>
      <c r="T363">
        <v>2024</v>
      </c>
    </row>
    <row r="364" spans="1:20" x14ac:dyDescent="0.3">
      <c r="A364" t="s">
        <v>726</v>
      </c>
      <c r="B364" t="s">
        <v>399</v>
      </c>
      <c r="C364" t="s">
        <v>200</v>
      </c>
      <c r="D364" t="s">
        <v>132</v>
      </c>
      <c r="E364" t="s">
        <v>158</v>
      </c>
      <c r="F364" t="s">
        <v>62</v>
      </c>
      <c r="G364" t="s">
        <v>71</v>
      </c>
      <c r="H364" t="s">
        <v>271</v>
      </c>
      <c r="I364" t="s">
        <v>65</v>
      </c>
      <c r="J364">
        <v>3</v>
      </c>
      <c r="K364">
        <v>908.47</v>
      </c>
      <c r="L364">
        <v>30</v>
      </c>
      <c r="M364">
        <v>2725.41</v>
      </c>
      <c r="N364">
        <v>1929.01</v>
      </c>
      <c r="O364">
        <v>796.4</v>
      </c>
      <c r="P364" t="s">
        <v>113</v>
      </c>
      <c r="Q364">
        <v>4.5999999999999996</v>
      </c>
      <c r="R364" t="s">
        <v>30</v>
      </c>
      <c r="S364" t="s">
        <v>31</v>
      </c>
      <c r="T364">
        <v>2024</v>
      </c>
    </row>
    <row r="365" spans="1:20" x14ac:dyDescent="0.3">
      <c r="A365" t="s">
        <v>727</v>
      </c>
      <c r="B365" t="s">
        <v>638</v>
      </c>
      <c r="C365" t="s">
        <v>90</v>
      </c>
      <c r="D365" t="s">
        <v>23</v>
      </c>
      <c r="E365" t="s">
        <v>24</v>
      </c>
      <c r="F365" t="s">
        <v>62</v>
      </c>
      <c r="G365" t="s">
        <v>63</v>
      </c>
      <c r="H365" t="s">
        <v>83</v>
      </c>
      <c r="I365" t="s">
        <v>143</v>
      </c>
      <c r="J365">
        <v>4</v>
      </c>
      <c r="K365">
        <v>14102.56</v>
      </c>
      <c r="L365">
        <v>15</v>
      </c>
      <c r="M365">
        <v>56410.239999999998</v>
      </c>
      <c r="N365">
        <v>36959.379999999997</v>
      </c>
      <c r="O365">
        <v>19450.86</v>
      </c>
      <c r="P365" t="s">
        <v>113</v>
      </c>
      <c r="Q365">
        <v>2.9</v>
      </c>
      <c r="R365" t="s">
        <v>30</v>
      </c>
      <c r="S365" t="s">
        <v>31</v>
      </c>
      <c r="T365">
        <v>2024</v>
      </c>
    </row>
    <row r="366" spans="1:20" x14ac:dyDescent="0.3">
      <c r="A366" t="s">
        <v>728</v>
      </c>
      <c r="B366" t="s">
        <v>691</v>
      </c>
      <c r="C366" t="s">
        <v>200</v>
      </c>
      <c r="D366" t="s">
        <v>69</v>
      </c>
      <c r="E366" t="s">
        <v>70</v>
      </c>
      <c r="F366" t="s">
        <v>54</v>
      </c>
      <c r="G366" t="s">
        <v>55</v>
      </c>
      <c r="H366" t="s">
        <v>179</v>
      </c>
      <c r="I366" t="s">
        <v>57</v>
      </c>
      <c r="J366">
        <v>4</v>
      </c>
      <c r="K366">
        <v>23287.93</v>
      </c>
      <c r="L366">
        <v>20</v>
      </c>
      <c r="M366">
        <v>93151.72</v>
      </c>
      <c r="N366">
        <v>72662.259999999995</v>
      </c>
      <c r="O366">
        <v>20489.46</v>
      </c>
      <c r="P366" t="s">
        <v>29</v>
      </c>
      <c r="Q366">
        <v>2</v>
      </c>
      <c r="R366" t="s">
        <v>30</v>
      </c>
      <c r="S366" t="s">
        <v>162</v>
      </c>
      <c r="T366">
        <v>2024</v>
      </c>
    </row>
    <row r="367" spans="1:20" x14ac:dyDescent="0.3">
      <c r="A367" t="s">
        <v>729</v>
      </c>
      <c r="B367" t="s">
        <v>307</v>
      </c>
      <c r="C367" t="s">
        <v>90</v>
      </c>
      <c r="D367" t="s">
        <v>52</v>
      </c>
      <c r="E367" t="s">
        <v>53</v>
      </c>
      <c r="F367" t="s">
        <v>62</v>
      </c>
      <c r="G367" t="s">
        <v>63</v>
      </c>
      <c r="H367" t="s">
        <v>72</v>
      </c>
      <c r="I367" t="s">
        <v>143</v>
      </c>
      <c r="J367">
        <v>1</v>
      </c>
      <c r="K367">
        <v>41333.21</v>
      </c>
      <c r="L367">
        <v>5</v>
      </c>
      <c r="M367">
        <v>41333.21</v>
      </c>
      <c r="N367">
        <v>32491.34</v>
      </c>
      <c r="O367">
        <v>8841.8700000000008</v>
      </c>
      <c r="P367" t="s">
        <v>144</v>
      </c>
      <c r="Q367">
        <v>4</v>
      </c>
      <c r="R367" t="s">
        <v>30</v>
      </c>
      <c r="S367" t="s">
        <v>87</v>
      </c>
      <c r="T367">
        <v>2025</v>
      </c>
    </row>
    <row r="368" spans="1:20" x14ac:dyDescent="0.3">
      <c r="A368" t="s">
        <v>730</v>
      </c>
      <c r="B368" t="s">
        <v>416</v>
      </c>
      <c r="C368" t="s">
        <v>116</v>
      </c>
      <c r="D368" t="s">
        <v>81</v>
      </c>
      <c r="E368" t="s">
        <v>149</v>
      </c>
      <c r="F368" t="s">
        <v>25</v>
      </c>
      <c r="G368" t="s">
        <v>26</v>
      </c>
      <c r="H368" t="s">
        <v>27</v>
      </c>
      <c r="I368" t="s">
        <v>112</v>
      </c>
      <c r="J368">
        <v>1</v>
      </c>
      <c r="K368">
        <v>35304.99</v>
      </c>
      <c r="L368">
        <v>25</v>
      </c>
      <c r="M368">
        <v>35304.99</v>
      </c>
      <c r="N368">
        <v>28020.53</v>
      </c>
      <c r="O368">
        <v>7284.46</v>
      </c>
      <c r="P368" t="s">
        <v>113</v>
      </c>
      <c r="Q368">
        <v>2</v>
      </c>
      <c r="R368" t="s">
        <v>30</v>
      </c>
      <c r="S368" t="s">
        <v>162</v>
      </c>
      <c r="T368">
        <v>2024</v>
      </c>
    </row>
    <row r="369" spans="1:20" x14ac:dyDescent="0.3">
      <c r="A369" t="s">
        <v>731</v>
      </c>
      <c r="B369" t="s">
        <v>192</v>
      </c>
      <c r="C369" t="s">
        <v>80</v>
      </c>
      <c r="D369" t="s">
        <v>52</v>
      </c>
      <c r="E369" t="s">
        <v>110</v>
      </c>
      <c r="F369" t="s">
        <v>37</v>
      </c>
      <c r="G369" t="s">
        <v>38</v>
      </c>
      <c r="H369" t="s">
        <v>39</v>
      </c>
      <c r="I369" t="s">
        <v>40</v>
      </c>
      <c r="J369">
        <v>2</v>
      </c>
      <c r="K369">
        <v>22335.58</v>
      </c>
      <c r="L369">
        <v>5</v>
      </c>
      <c r="M369">
        <v>44671.16</v>
      </c>
      <c r="N369">
        <v>30728.67</v>
      </c>
      <c r="O369">
        <v>13942.49</v>
      </c>
      <c r="P369" t="s">
        <v>73</v>
      </c>
      <c r="Q369">
        <v>3.8</v>
      </c>
      <c r="R369" t="s">
        <v>159</v>
      </c>
      <c r="S369" t="s">
        <v>78</v>
      </c>
      <c r="T369">
        <v>2024</v>
      </c>
    </row>
    <row r="370" spans="1:20" x14ac:dyDescent="0.3">
      <c r="A370" t="s">
        <v>732</v>
      </c>
      <c r="B370" t="s">
        <v>733</v>
      </c>
      <c r="C370" t="s">
        <v>34</v>
      </c>
      <c r="D370" t="s">
        <v>35</v>
      </c>
      <c r="E370" t="s">
        <v>36</v>
      </c>
      <c r="F370" t="s">
        <v>62</v>
      </c>
      <c r="G370" t="s">
        <v>71</v>
      </c>
      <c r="H370" t="s">
        <v>64</v>
      </c>
      <c r="I370" t="s">
        <v>165</v>
      </c>
      <c r="J370">
        <v>5</v>
      </c>
      <c r="K370">
        <v>40486.080000000002</v>
      </c>
      <c r="L370">
        <v>25</v>
      </c>
      <c r="M370">
        <v>202430.4</v>
      </c>
      <c r="N370">
        <v>154826.1</v>
      </c>
      <c r="O370">
        <v>47604.3</v>
      </c>
      <c r="P370" t="s">
        <v>73</v>
      </c>
      <c r="Q370">
        <v>3.6</v>
      </c>
      <c r="R370" t="s">
        <v>30</v>
      </c>
      <c r="S370" t="s">
        <v>58</v>
      </c>
      <c r="T370">
        <v>2024</v>
      </c>
    </row>
    <row r="371" spans="1:20" x14ac:dyDescent="0.3">
      <c r="A371" t="s">
        <v>734</v>
      </c>
      <c r="B371" t="s">
        <v>319</v>
      </c>
      <c r="C371" t="s">
        <v>97</v>
      </c>
      <c r="D371" t="s">
        <v>69</v>
      </c>
      <c r="E371" t="s">
        <v>70</v>
      </c>
      <c r="F371" t="s">
        <v>25</v>
      </c>
      <c r="G371" t="s">
        <v>26</v>
      </c>
      <c r="H371" t="s">
        <v>27</v>
      </c>
      <c r="I371" t="s">
        <v>28</v>
      </c>
      <c r="J371">
        <v>1</v>
      </c>
      <c r="K371">
        <v>20353.400000000001</v>
      </c>
      <c r="L371">
        <v>20</v>
      </c>
      <c r="M371">
        <v>20353.400000000001</v>
      </c>
      <c r="N371">
        <v>14528.64</v>
      </c>
      <c r="O371">
        <v>5824.76</v>
      </c>
      <c r="P371" t="s">
        <v>41</v>
      </c>
      <c r="Q371">
        <v>2.9</v>
      </c>
      <c r="R371" t="s">
        <v>30</v>
      </c>
      <c r="S371" t="s">
        <v>78</v>
      </c>
      <c r="T371">
        <v>2024</v>
      </c>
    </row>
    <row r="372" spans="1:20" x14ac:dyDescent="0.3">
      <c r="A372" t="s">
        <v>735</v>
      </c>
      <c r="B372" t="s">
        <v>482</v>
      </c>
      <c r="C372" t="s">
        <v>80</v>
      </c>
      <c r="D372" t="s">
        <v>23</v>
      </c>
      <c r="E372" t="s">
        <v>24</v>
      </c>
      <c r="F372" t="s">
        <v>54</v>
      </c>
      <c r="G372" t="s">
        <v>201</v>
      </c>
      <c r="H372" t="s">
        <v>179</v>
      </c>
      <c r="I372" t="s">
        <v>57</v>
      </c>
      <c r="J372">
        <v>3</v>
      </c>
      <c r="K372">
        <v>2258.27</v>
      </c>
      <c r="L372">
        <v>10</v>
      </c>
      <c r="M372">
        <v>6774.81</v>
      </c>
      <c r="N372">
        <v>4404.51</v>
      </c>
      <c r="O372">
        <v>2370.3000000000002</v>
      </c>
      <c r="P372" t="s">
        <v>73</v>
      </c>
      <c r="Q372">
        <v>4.8</v>
      </c>
      <c r="R372" t="s">
        <v>30</v>
      </c>
      <c r="S372" t="s">
        <v>74</v>
      </c>
      <c r="T372">
        <v>2024</v>
      </c>
    </row>
    <row r="373" spans="1:20" x14ac:dyDescent="0.3">
      <c r="A373" t="s">
        <v>736</v>
      </c>
      <c r="B373" t="s">
        <v>737</v>
      </c>
      <c r="C373" t="s">
        <v>80</v>
      </c>
      <c r="D373" t="s">
        <v>132</v>
      </c>
      <c r="E373" t="s">
        <v>133</v>
      </c>
      <c r="F373" t="s">
        <v>54</v>
      </c>
      <c r="G373" t="s">
        <v>55</v>
      </c>
      <c r="H373" t="s">
        <v>117</v>
      </c>
      <c r="I373" t="s">
        <v>93</v>
      </c>
      <c r="J373">
        <v>5</v>
      </c>
      <c r="K373">
        <v>704.55</v>
      </c>
      <c r="L373">
        <v>30</v>
      </c>
      <c r="M373">
        <v>3522.75</v>
      </c>
      <c r="N373">
        <v>2498.8000000000002</v>
      </c>
      <c r="O373">
        <v>1023.95</v>
      </c>
      <c r="P373" t="s">
        <v>29</v>
      </c>
      <c r="Q373">
        <v>4</v>
      </c>
      <c r="R373" t="s">
        <v>30</v>
      </c>
      <c r="S373" t="s">
        <v>49</v>
      </c>
      <c r="T373">
        <v>2024</v>
      </c>
    </row>
    <row r="374" spans="1:20" x14ac:dyDescent="0.3">
      <c r="A374" t="s">
        <v>738</v>
      </c>
      <c r="B374" t="s">
        <v>182</v>
      </c>
      <c r="C374" t="s">
        <v>200</v>
      </c>
      <c r="D374" t="s">
        <v>23</v>
      </c>
      <c r="E374" t="s">
        <v>24</v>
      </c>
      <c r="F374" t="s">
        <v>62</v>
      </c>
      <c r="G374" t="s">
        <v>71</v>
      </c>
      <c r="H374" t="s">
        <v>83</v>
      </c>
      <c r="I374" t="s">
        <v>65</v>
      </c>
      <c r="J374">
        <v>1</v>
      </c>
      <c r="K374">
        <v>38629</v>
      </c>
      <c r="L374">
        <v>5</v>
      </c>
      <c r="M374">
        <v>38629</v>
      </c>
      <c r="N374">
        <v>25503.94</v>
      </c>
      <c r="O374">
        <v>13125.06</v>
      </c>
      <c r="P374" t="s">
        <v>144</v>
      </c>
      <c r="Q374">
        <v>4</v>
      </c>
      <c r="R374" t="s">
        <v>30</v>
      </c>
      <c r="S374" t="s">
        <v>78</v>
      </c>
      <c r="T374">
        <v>2024</v>
      </c>
    </row>
    <row r="375" spans="1:20" x14ac:dyDescent="0.3">
      <c r="A375" t="s">
        <v>739</v>
      </c>
      <c r="B375" t="s">
        <v>740</v>
      </c>
      <c r="C375" t="s">
        <v>116</v>
      </c>
      <c r="D375" t="s">
        <v>125</v>
      </c>
      <c r="E375" t="s">
        <v>139</v>
      </c>
      <c r="F375" t="s">
        <v>25</v>
      </c>
      <c r="G375" t="s">
        <v>26</v>
      </c>
      <c r="H375" t="s">
        <v>221</v>
      </c>
      <c r="I375" t="s">
        <v>112</v>
      </c>
      <c r="J375">
        <v>4</v>
      </c>
      <c r="K375">
        <v>37303.26</v>
      </c>
      <c r="L375">
        <v>15</v>
      </c>
      <c r="M375">
        <v>149213.04</v>
      </c>
      <c r="N375">
        <v>126436.53</v>
      </c>
      <c r="O375">
        <v>22776.51</v>
      </c>
      <c r="P375" t="s">
        <v>113</v>
      </c>
      <c r="Q375">
        <v>2.9</v>
      </c>
      <c r="R375" t="s">
        <v>30</v>
      </c>
      <c r="S375" t="s">
        <v>87</v>
      </c>
      <c r="T375">
        <v>2025</v>
      </c>
    </row>
    <row r="376" spans="1:20" x14ac:dyDescent="0.3">
      <c r="A376" t="s">
        <v>741</v>
      </c>
      <c r="B376" t="s">
        <v>742</v>
      </c>
      <c r="C376" t="s">
        <v>90</v>
      </c>
      <c r="D376" t="s">
        <v>52</v>
      </c>
      <c r="E376" t="s">
        <v>53</v>
      </c>
      <c r="F376" t="s">
        <v>54</v>
      </c>
      <c r="G376" t="s">
        <v>55</v>
      </c>
      <c r="H376" t="s">
        <v>117</v>
      </c>
      <c r="I376" t="s">
        <v>185</v>
      </c>
      <c r="J376">
        <v>4</v>
      </c>
      <c r="K376">
        <v>11507.22</v>
      </c>
      <c r="L376">
        <v>5</v>
      </c>
      <c r="M376">
        <v>46028.88</v>
      </c>
      <c r="N376">
        <v>31455.56</v>
      </c>
      <c r="O376">
        <v>14573.32</v>
      </c>
      <c r="P376" t="s">
        <v>29</v>
      </c>
      <c r="Q376">
        <v>1.4</v>
      </c>
      <c r="R376" t="s">
        <v>30</v>
      </c>
      <c r="S376" t="s">
        <v>107</v>
      </c>
      <c r="T376">
        <v>2024</v>
      </c>
    </row>
    <row r="377" spans="1:20" x14ac:dyDescent="0.3">
      <c r="A377" t="s">
        <v>743</v>
      </c>
      <c r="B377" t="s">
        <v>574</v>
      </c>
      <c r="C377" t="s">
        <v>116</v>
      </c>
      <c r="D377" t="s">
        <v>52</v>
      </c>
      <c r="E377" t="s">
        <v>110</v>
      </c>
      <c r="F377" t="s">
        <v>62</v>
      </c>
      <c r="G377" t="s">
        <v>63</v>
      </c>
      <c r="H377" t="s">
        <v>83</v>
      </c>
      <c r="I377" t="s">
        <v>65</v>
      </c>
      <c r="J377">
        <v>1</v>
      </c>
      <c r="K377">
        <v>48710.25</v>
      </c>
      <c r="L377">
        <v>5</v>
      </c>
      <c r="M377">
        <v>48710.25</v>
      </c>
      <c r="N377">
        <v>39207.5</v>
      </c>
      <c r="O377">
        <v>9502.75</v>
      </c>
      <c r="P377" t="s">
        <v>122</v>
      </c>
      <c r="Q377">
        <v>1.7</v>
      </c>
      <c r="R377" t="s">
        <v>30</v>
      </c>
      <c r="S377" t="s">
        <v>74</v>
      </c>
      <c r="T377">
        <v>2024</v>
      </c>
    </row>
    <row r="378" spans="1:20" x14ac:dyDescent="0.3">
      <c r="A378" t="s">
        <v>744</v>
      </c>
      <c r="B378" t="s">
        <v>745</v>
      </c>
      <c r="C378" t="s">
        <v>90</v>
      </c>
      <c r="D378" t="s">
        <v>81</v>
      </c>
      <c r="E378" t="s">
        <v>82</v>
      </c>
      <c r="F378" t="s">
        <v>25</v>
      </c>
      <c r="G378" t="s">
        <v>26</v>
      </c>
      <c r="H378" t="s">
        <v>27</v>
      </c>
      <c r="I378" t="s">
        <v>112</v>
      </c>
      <c r="J378">
        <v>1</v>
      </c>
      <c r="K378">
        <v>20075.810000000001</v>
      </c>
      <c r="L378">
        <v>5</v>
      </c>
      <c r="M378">
        <v>20075.810000000001</v>
      </c>
      <c r="N378">
        <v>13747.78</v>
      </c>
      <c r="O378">
        <v>6328.03</v>
      </c>
      <c r="P378" t="s">
        <v>29</v>
      </c>
      <c r="Q378">
        <v>4.9000000000000004</v>
      </c>
      <c r="R378" t="s">
        <v>30</v>
      </c>
      <c r="S378" t="s">
        <v>119</v>
      </c>
      <c r="T378">
        <v>2024</v>
      </c>
    </row>
    <row r="379" spans="1:20" x14ac:dyDescent="0.3">
      <c r="A379" t="s">
        <v>746</v>
      </c>
      <c r="B379" t="s">
        <v>747</v>
      </c>
      <c r="C379" t="s">
        <v>61</v>
      </c>
      <c r="D379" t="s">
        <v>23</v>
      </c>
      <c r="E379" t="s">
        <v>24</v>
      </c>
      <c r="F379" t="s">
        <v>25</v>
      </c>
      <c r="G379" t="s">
        <v>26</v>
      </c>
      <c r="H379" t="s">
        <v>121</v>
      </c>
      <c r="I379" t="s">
        <v>112</v>
      </c>
      <c r="J379">
        <v>2</v>
      </c>
      <c r="K379">
        <v>8448.77</v>
      </c>
      <c r="L379">
        <v>30</v>
      </c>
      <c r="M379">
        <v>16897.54</v>
      </c>
      <c r="N379">
        <v>13617.54</v>
      </c>
      <c r="O379">
        <v>3280</v>
      </c>
      <c r="P379" t="s">
        <v>41</v>
      </c>
      <c r="Q379">
        <v>3.8</v>
      </c>
      <c r="R379" t="s">
        <v>30</v>
      </c>
      <c r="S379" t="s">
        <v>49</v>
      </c>
      <c r="T379">
        <v>2024</v>
      </c>
    </row>
    <row r="380" spans="1:20" x14ac:dyDescent="0.3">
      <c r="A380" t="s">
        <v>748</v>
      </c>
      <c r="B380" t="s">
        <v>749</v>
      </c>
      <c r="C380" t="s">
        <v>168</v>
      </c>
      <c r="D380" t="s">
        <v>69</v>
      </c>
      <c r="E380" t="s">
        <v>155</v>
      </c>
      <c r="F380" t="s">
        <v>37</v>
      </c>
      <c r="G380" t="s">
        <v>38</v>
      </c>
      <c r="H380" t="s">
        <v>77</v>
      </c>
      <c r="I380" t="s">
        <v>40</v>
      </c>
      <c r="J380">
        <v>4</v>
      </c>
      <c r="K380">
        <v>29310.76</v>
      </c>
      <c r="L380">
        <v>15</v>
      </c>
      <c r="M380">
        <v>117243.04</v>
      </c>
      <c r="N380">
        <v>91582.46</v>
      </c>
      <c r="O380">
        <v>25660.58</v>
      </c>
      <c r="P380" t="s">
        <v>73</v>
      </c>
      <c r="Q380">
        <v>4.4000000000000004</v>
      </c>
      <c r="R380" t="s">
        <v>30</v>
      </c>
      <c r="S380" t="s">
        <v>78</v>
      </c>
      <c r="T380">
        <v>2024</v>
      </c>
    </row>
    <row r="381" spans="1:20" x14ac:dyDescent="0.3">
      <c r="A381" t="s">
        <v>750</v>
      </c>
      <c r="B381" t="s">
        <v>429</v>
      </c>
      <c r="C381" t="s">
        <v>90</v>
      </c>
      <c r="D381" t="s">
        <v>23</v>
      </c>
      <c r="E381" t="s">
        <v>24</v>
      </c>
      <c r="F381" t="s">
        <v>25</v>
      </c>
      <c r="G381" t="s">
        <v>26</v>
      </c>
      <c r="H381" t="s">
        <v>27</v>
      </c>
      <c r="I381" t="s">
        <v>28</v>
      </c>
      <c r="J381">
        <v>4</v>
      </c>
      <c r="K381">
        <v>708.78</v>
      </c>
      <c r="L381">
        <v>15</v>
      </c>
      <c r="M381">
        <v>2835.12</v>
      </c>
      <c r="N381">
        <v>2159.4</v>
      </c>
      <c r="O381">
        <v>675.72</v>
      </c>
      <c r="P381" t="s">
        <v>113</v>
      </c>
      <c r="Q381">
        <v>2</v>
      </c>
      <c r="R381" t="s">
        <v>30</v>
      </c>
      <c r="S381" t="s">
        <v>58</v>
      </c>
      <c r="T381">
        <v>2024</v>
      </c>
    </row>
    <row r="382" spans="1:20" x14ac:dyDescent="0.3">
      <c r="A382" t="s">
        <v>751</v>
      </c>
      <c r="B382" t="s">
        <v>752</v>
      </c>
      <c r="C382" t="s">
        <v>90</v>
      </c>
      <c r="D382" t="s">
        <v>23</v>
      </c>
      <c r="E382" t="s">
        <v>24</v>
      </c>
      <c r="F382" t="s">
        <v>37</v>
      </c>
      <c r="G382" t="s">
        <v>38</v>
      </c>
      <c r="H382" t="s">
        <v>86</v>
      </c>
      <c r="I382" t="s">
        <v>40</v>
      </c>
      <c r="J382">
        <v>4</v>
      </c>
      <c r="K382">
        <v>24062.33</v>
      </c>
      <c r="L382">
        <v>30</v>
      </c>
      <c r="M382">
        <v>96249.32</v>
      </c>
      <c r="N382">
        <v>67178.11</v>
      </c>
      <c r="O382">
        <v>29071.21</v>
      </c>
      <c r="P382" t="s">
        <v>29</v>
      </c>
      <c r="Q382">
        <v>1.1000000000000001</v>
      </c>
      <c r="R382" t="s">
        <v>30</v>
      </c>
      <c r="S382" t="s">
        <v>87</v>
      </c>
      <c r="T382">
        <v>2025</v>
      </c>
    </row>
    <row r="383" spans="1:20" x14ac:dyDescent="0.3">
      <c r="A383" t="s">
        <v>753</v>
      </c>
      <c r="B383" t="s">
        <v>538</v>
      </c>
      <c r="C383" t="s">
        <v>22</v>
      </c>
      <c r="D383" t="s">
        <v>98</v>
      </c>
      <c r="E383" t="s">
        <v>99</v>
      </c>
      <c r="F383" t="s">
        <v>37</v>
      </c>
      <c r="G383" t="s">
        <v>38</v>
      </c>
      <c r="H383" t="s">
        <v>77</v>
      </c>
      <c r="I383" t="s">
        <v>40</v>
      </c>
      <c r="J383">
        <v>1</v>
      </c>
      <c r="K383">
        <v>27827.66</v>
      </c>
      <c r="L383">
        <v>20</v>
      </c>
      <c r="M383">
        <v>27827.66</v>
      </c>
      <c r="N383">
        <v>18446.34</v>
      </c>
      <c r="O383">
        <v>9381.32</v>
      </c>
      <c r="P383" t="s">
        <v>113</v>
      </c>
      <c r="Q383">
        <v>4.5</v>
      </c>
      <c r="R383" t="s">
        <v>30</v>
      </c>
      <c r="S383" t="s">
        <v>119</v>
      </c>
      <c r="T383">
        <v>2024</v>
      </c>
    </row>
    <row r="384" spans="1:20" x14ac:dyDescent="0.3">
      <c r="A384" t="s">
        <v>754</v>
      </c>
      <c r="B384" t="s">
        <v>580</v>
      </c>
      <c r="C384" t="s">
        <v>200</v>
      </c>
      <c r="D384" t="s">
        <v>35</v>
      </c>
      <c r="E384" t="s">
        <v>36</v>
      </c>
      <c r="F384" t="s">
        <v>54</v>
      </c>
      <c r="G384" t="s">
        <v>91</v>
      </c>
      <c r="H384" t="s">
        <v>56</v>
      </c>
      <c r="I384" t="s">
        <v>118</v>
      </c>
      <c r="J384">
        <v>2</v>
      </c>
      <c r="K384">
        <v>40862.870000000003</v>
      </c>
      <c r="L384">
        <v>20</v>
      </c>
      <c r="M384">
        <v>81725.740000000005</v>
      </c>
      <c r="N384">
        <v>69075.44</v>
      </c>
      <c r="O384">
        <v>12650.3</v>
      </c>
      <c r="P384" t="s">
        <v>29</v>
      </c>
      <c r="Q384">
        <v>1.4</v>
      </c>
      <c r="R384" t="s">
        <v>30</v>
      </c>
      <c r="S384" t="s">
        <v>49</v>
      </c>
      <c r="T384">
        <v>2024</v>
      </c>
    </row>
    <row r="385" spans="1:20" x14ac:dyDescent="0.3">
      <c r="A385" t="s">
        <v>755</v>
      </c>
      <c r="B385" t="s">
        <v>756</v>
      </c>
      <c r="C385" t="s">
        <v>34</v>
      </c>
      <c r="D385" t="s">
        <v>52</v>
      </c>
      <c r="E385" t="s">
        <v>110</v>
      </c>
      <c r="F385" t="s">
        <v>37</v>
      </c>
      <c r="G385" t="s">
        <v>38</v>
      </c>
      <c r="H385" t="s">
        <v>77</v>
      </c>
      <c r="I385" t="s">
        <v>40</v>
      </c>
      <c r="J385">
        <v>2</v>
      </c>
      <c r="K385">
        <v>11399.26</v>
      </c>
      <c r="L385">
        <v>25</v>
      </c>
      <c r="M385">
        <v>22798.52</v>
      </c>
      <c r="N385">
        <v>18697.43</v>
      </c>
      <c r="O385">
        <v>4101.09</v>
      </c>
      <c r="P385" t="s">
        <v>144</v>
      </c>
      <c r="Q385">
        <v>1</v>
      </c>
      <c r="R385" t="s">
        <v>30</v>
      </c>
      <c r="S385" t="s">
        <v>102</v>
      </c>
      <c r="T385">
        <v>2024</v>
      </c>
    </row>
    <row r="386" spans="1:20" x14ac:dyDescent="0.3">
      <c r="A386" t="s">
        <v>757</v>
      </c>
      <c r="B386" t="s">
        <v>273</v>
      </c>
      <c r="C386" t="s">
        <v>116</v>
      </c>
      <c r="D386" t="s">
        <v>125</v>
      </c>
      <c r="E386" t="s">
        <v>126</v>
      </c>
      <c r="F386" t="s">
        <v>45</v>
      </c>
      <c r="G386" t="s">
        <v>46</v>
      </c>
      <c r="H386" t="s">
        <v>176</v>
      </c>
      <c r="I386" t="s">
        <v>101</v>
      </c>
      <c r="J386">
        <v>1</v>
      </c>
      <c r="K386">
        <v>5463.13</v>
      </c>
      <c r="L386">
        <v>20</v>
      </c>
      <c r="M386">
        <v>5463.13</v>
      </c>
      <c r="N386">
        <v>4151.58</v>
      </c>
      <c r="O386">
        <v>1311.55</v>
      </c>
      <c r="P386" t="s">
        <v>29</v>
      </c>
      <c r="Q386">
        <v>3.9</v>
      </c>
      <c r="R386" t="s">
        <v>30</v>
      </c>
      <c r="S386" t="s">
        <v>119</v>
      </c>
      <c r="T386">
        <v>2024</v>
      </c>
    </row>
    <row r="387" spans="1:20" x14ac:dyDescent="0.3">
      <c r="A387" t="s">
        <v>758</v>
      </c>
      <c r="B387" t="s">
        <v>759</v>
      </c>
      <c r="C387" t="s">
        <v>90</v>
      </c>
      <c r="D387" t="s">
        <v>98</v>
      </c>
      <c r="E387" t="s">
        <v>99</v>
      </c>
      <c r="F387" t="s">
        <v>25</v>
      </c>
      <c r="G387" t="s">
        <v>111</v>
      </c>
      <c r="H387" t="s">
        <v>121</v>
      </c>
      <c r="I387" t="s">
        <v>28</v>
      </c>
      <c r="J387">
        <v>5</v>
      </c>
      <c r="K387">
        <v>8644.99</v>
      </c>
      <c r="L387">
        <v>15</v>
      </c>
      <c r="M387">
        <v>43224.95</v>
      </c>
      <c r="N387">
        <v>33421.379999999997</v>
      </c>
      <c r="O387">
        <v>9803.57</v>
      </c>
      <c r="P387" t="s">
        <v>29</v>
      </c>
      <c r="Q387">
        <v>4.3</v>
      </c>
      <c r="R387" t="s">
        <v>30</v>
      </c>
      <c r="S387" t="s">
        <v>78</v>
      </c>
      <c r="T387">
        <v>2024</v>
      </c>
    </row>
    <row r="388" spans="1:20" x14ac:dyDescent="0.3">
      <c r="A388" t="s">
        <v>760</v>
      </c>
      <c r="B388" t="s">
        <v>287</v>
      </c>
      <c r="C388" t="s">
        <v>90</v>
      </c>
      <c r="D388" t="s">
        <v>98</v>
      </c>
      <c r="E388" t="s">
        <v>99</v>
      </c>
      <c r="F388" t="s">
        <v>54</v>
      </c>
      <c r="G388" t="s">
        <v>91</v>
      </c>
      <c r="H388" t="s">
        <v>91</v>
      </c>
      <c r="I388" t="s">
        <v>180</v>
      </c>
      <c r="J388">
        <v>2</v>
      </c>
      <c r="K388">
        <v>27481.15</v>
      </c>
      <c r="L388">
        <v>5</v>
      </c>
      <c r="M388">
        <v>54962.3</v>
      </c>
      <c r="N388">
        <v>35814.080000000002</v>
      </c>
      <c r="O388">
        <v>19148.22</v>
      </c>
      <c r="P388" t="s">
        <v>113</v>
      </c>
      <c r="Q388">
        <v>3.2</v>
      </c>
      <c r="R388" t="s">
        <v>30</v>
      </c>
      <c r="S388" t="s">
        <v>74</v>
      </c>
      <c r="T388">
        <v>2024</v>
      </c>
    </row>
    <row r="389" spans="1:20" x14ac:dyDescent="0.3">
      <c r="A389" t="s">
        <v>761</v>
      </c>
      <c r="B389" t="s">
        <v>431</v>
      </c>
      <c r="C389" t="s">
        <v>90</v>
      </c>
      <c r="D389" t="s">
        <v>132</v>
      </c>
      <c r="E389" t="s">
        <v>158</v>
      </c>
      <c r="F389" t="s">
        <v>25</v>
      </c>
      <c r="G389" t="s">
        <v>26</v>
      </c>
      <c r="H389" t="s">
        <v>235</v>
      </c>
      <c r="I389" t="s">
        <v>28</v>
      </c>
      <c r="J389">
        <v>4</v>
      </c>
      <c r="K389">
        <v>47819.23</v>
      </c>
      <c r="L389">
        <v>25</v>
      </c>
      <c r="M389">
        <v>191276.92</v>
      </c>
      <c r="N389">
        <v>149009.47</v>
      </c>
      <c r="O389">
        <v>42267.45</v>
      </c>
      <c r="P389" t="s">
        <v>73</v>
      </c>
      <c r="Q389">
        <v>1.1000000000000001</v>
      </c>
      <c r="R389" t="s">
        <v>30</v>
      </c>
      <c r="S389" t="s">
        <v>119</v>
      </c>
      <c r="T389">
        <v>2024</v>
      </c>
    </row>
    <row r="390" spans="1:20" x14ac:dyDescent="0.3">
      <c r="A390" t="s">
        <v>762</v>
      </c>
      <c r="B390" t="s">
        <v>714</v>
      </c>
      <c r="C390" t="s">
        <v>200</v>
      </c>
      <c r="D390" t="s">
        <v>23</v>
      </c>
      <c r="E390" t="s">
        <v>24</v>
      </c>
      <c r="F390" t="s">
        <v>45</v>
      </c>
      <c r="G390" t="s">
        <v>105</v>
      </c>
      <c r="H390" t="s">
        <v>106</v>
      </c>
      <c r="I390" t="s">
        <v>169</v>
      </c>
      <c r="J390">
        <v>4</v>
      </c>
      <c r="K390">
        <v>7145.81</v>
      </c>
      <c r="L390">
        <v>5</v>
      </c>
      <c r="M390">
        <v>28583.24</v>
      </c>
      <c r="N390">
        <v>22002.62</v>
      </c>
      <c r="O390">
        <v>6580.62</v>
      </c>
      <c r="P390" t="s">
        <v>73</v>
      </c>
      <c r="Q390">
        <v>1.9</v>
      </c>
      <c r="R390" t="s">
        <v>30</v>
      </c>
      <c r="S390" t="s">
        <v>94</v>
      </c>
      <c r="T390">
        <v>2024</v>
      </c>
    </row>
    <row r="391" spans="1:20" x14ac:dyDescent="0.3">
      <c r="A391" t="s">
        <v>763</v>
      </c>
      <c r="B391" t="s">
        <v>764</v>
      </c>
      <c r="C391" t="s">
        <v>97</v>
      </c>
      <c r="D391" t="s">
        <v>132</v>
      </c>
      <c r="E391" t="s">
        <v>133</v>
      </c>
      <c r="F391" t="s">
        <v>54</v>
      </c>
      <c r="G391" t="s">
        <v>91</v>
      </c>
      <c r="H391" t="s">
        <v>91</v>
      </c>
      <c r="I391" t="s">
        <v>185</v>
      </c>
      <c r="J391">
        <v>3</v>
      </c>
      <c r="K391">
        <v>29847.4</v>
      </c>
      <c r="L391">
        <v>5</v>
      </c>
      <c r="M391">
        <v>89542.2</v>
      </c>
      <c r="N391">
        <v>72356.460000000006</v>
      </c>
      <c r="O391">
        <v>17185.740000000002</v>
      </c>
      <c r="P391" t="s">
        <v>29</v>
      </c>
      <c r="Q391">
        <v>2.9</v>
      </c>
      <c r="R391" t="s">
        <v>30</v>
      </c>
      <c r="S391" t="s">
        <v>119</v>
      </c>
      <c r="T391">
        <v>2024</v>
      </c>
    </row>
    <row r="392" spans="1:20" x14ac:dyDescent="0.3">
      <c r="A392" t="s">
        <v>765</v>
      </c>
      <c r="B392" t="s">
        <v>379</v>
      </c>
      <c r="C392" t="s">
        <v>168</v>
      </c>
      <c r="D392" t="s">
        <v>52</v>
      </c>
      <c r="E392" t="s">
        <v>110</v>
      </c>
      <c r="F392" t="s">
        <v>45</v>
      </c>
      <c r="G392" t="s">
        <v>105</v>
      </c>
      <c r="H392" t="s">
        <v>106</v>
      </c>
      <c r="I392" t="s">
        <v>48</v>
      </c>
      <c r="J392">
        <v>2</v>
      </c>
      <c r="K392">
        <v>11186.35</v>
      </c>
      <c r="L392">
        <v>10</v>
      </c>
      <c r="M392">
        <v>22372.7</v>
      </c>
      <c r="N392">
        <v>16495.23</v>
      </c>
      <c r="O392">
        <v>5877.47</v>
      </c>
      <c r="P392" t="s">
        <v>113</v>
      </c>
      <c r="Q392">
        <v>1.1000000000000001</v>
      </c>
      <c r="R392" t="s">
        <v>30</v>
      </c>
      <c r="S392" t="s">
        <v>74</v>
      </c>
      <c r="T392">
        <v>2024</v>
      </c>
    </row>
    <row r="393" spans="1:20" x14ac:dyDescent="0.3">
      <c r="A393" t="s">
        <v>766</v>
      </c>
      <c r="B393" t="s">
        <v>621</v>
      </c>
      <c r="C393" t="s">
        <v>97</v>
      </c>
      <c r="D393" t="s">
        <v>23</v>
      </c>
      <c r="E393" t="s">
        <v>24</v>
      </c>
      <c r="F393" t="s">
        <v>25</v>
      </c>
      <c r="G393" t="s">
        <v>26</v>
      </c>
      <c r="H393" t="s">
        <v>27</v>
      </c>
      <c r="I393" t="s">
        <v>28</v>
      </c>
      <c r="J393">
        <v>3</v>
      </c>
      <c r="K393">
        <v>36535.74</v>
      </c>
      <c r="L393">
        <v>5</v>
      </c>
      <c r="M393">
        <v>109607.22</v>
      </c>
      <c r="N393">
        <v>87774.26</v>
      </c>
      <c r="O393">
        <v>21832.959999999999</v>
      </c>
      <c r="P393" t="s">
        <v>41</v>
      </c>
      <c r="Q393">
        <v>1.2</v>
      </c>
      <c r="R393" t="s">
        <v>30</v>
      </c>
      <c r="S393" t="s">
        <v>78</v>
      </c>
      <c r="T393">
        <v>2024</v>
      </c>
    </row>
    <row r="394" spans="1:20" x14ac:dyDescent="0.3">
      <c r="A394" t="s">
        <v>767</v>
      </c>
      <c r="B394" t="s">
        <v>414</v>
      </c>
      <c r="C394" t="s">
        <v>168</v>
      </c>
      <c r="D394" t="s">
        <v>81</v>
      </c>
      <c r="E394" t="s">
        <v>149</v>
      </c>
      <c r="F394" t="s">
        <v>37</v>
      </c>
      <c r="G394" t="s">
        <v>38</v>
      </c>
      <c r="H394" t="s">
        <v>77</v>
      </c>
      <c r="I394" t="s">
        <v>40</v>
      </c>
      <c r="J394">
        <v>3</v>
      </c>
      <c r="K394">
        <v>12046.9</v>
      </c>
      <c r="L394">
        <v>20</v>
      </c>
      <c r="M394">
        <v>36140.699999999997</v>
      </c>
      <c r="N394">
        <v>30121.83</v>
      </c>
      <c r="O394">
        <v>6018.87</v>
      </c>
      <c r="P394" t="s">
        <v>113</v>
      </c>
      <c r="Q394">
        <v>3.2</v>
      </c>
      <c r="R394" t="s">
        <v>30</v>
      </c>
      <c r="S394" t="s">
        <v>87</v>
      </c>
      <c r="T394">
        <v>2025</v>
      </c>
    </row>
    <row r="395" spans="1:20" x14ac:dyDescent="0.3">
      <c r="A395" t="s">
        <v>768</v>
      </c>
      <c r="B395" t="s">
        <v>769</v>
      </c>
      <c r="C395" t="s">
        <v>136</v>
      </c>
      <c r="D395" t="s">
        <v>125</v>
      </c>
      <c r="E395" t="s">
        <v>126</v>
      </c>
      <c r="F395" t="s">
        <v>45</v>
      </c>
      <c r="G395" t="s">
        <v>46</v>
      </c>
      <c r="H395" t="s">
        <v>176</v>
      </c>
      <c r="I395" t="s">
        <v>169</v>
      </c>
      <c r="J395">
        <v>4</v>
      </c>
      <c r="K395">
        <v>7043.51</v>
      </c>
      <c r="L395">
        <v>5</v>
      </c>
      <c r="M395">
        <v>28174.04</v>
      </c>
      <c r="N395">
        <v>23601.35</v>
      </c>
      <c r="O395">
        <v>4572.6899999999996</v>
      </c>
      <c r="P395" t="s">
        <v>41</v>
      </c>
      <c r="Q395">
        <v>2.2999999999999998</v>
      </c>
      <c r="R395" t="s">
        <v>30</v>
      </c>
      <c r="S395" t="s">
        <v>94</v>
      </c>
      <c r="T395">
        <v>2024</v>
      </c>
    </row>
    <row r="396" spans="1:20" x14ac:dyDescent="0.3">
      <c r="A396" t="s">
        <v>770</v>
      </c>
      <c r="B396" t="s">
        <v>192</v>
      </c>
      <c r="C396" t="s">
        <v>168</v>
      </c>
      <c r="D396" t="s">
        <v>23</v>
      </c>
      <c r="E396" t="s">
        <v>24</v>
      </c>
      <c r="F396" t="s">
        <v>37</v>
      </c>
      <c r="G396" t="s">
        <v>38</v>
      </c>
      <c r="H396" t="s">
        <v>77</v>
      </c>
      <c r="I396" t="s">
        <v>40</v>
      </c>
      <c r="J396">
        <v>4</v>
      </c>
      <c r="K396">
        <v>34369.57</v>
      </c>
      <c r="L396">
        <v>5</v>
      </c>
      <c r="M396">
        <v>137478.28</v>
      </c>
      <c r="N396">
        <v>106699.69</v>
      </c>
      <c r="O396">
        <v>30778.59</v>
      </c>
      <c r="P396" t="s">
        <v>144</v>
      </c>
      <c r="Q396">
        <v>1.6</v>
      </c>
      <c r="R396" t="s">
        <v>30</v>
      </c>
      <c r="S396" t="s">
        <v>78</v>
      </c>
      <c r="T396">
        <v>2024</v>
      </c>
    </row>
    <row r="397" spans="1:20" x14ac:dyDescent="0.3">
      <c r="A397" t="s">
        <v>771</v>
      </c>
      <c r="B397" t="s">
        <v>772</v>
      </c>
      <c r="C397" t="s">
        <v>22</v>
      </c>
      <c r="D397" t="s">
        <v>69</v>
      </c>
      <c r="E397" t="s">
        <v>70</v>
      </c>
      <c r="F397" t="s">
        <v>37</v>
      </c>
      <c r="G397" t="s">
        <v>38</v>
      </c>
      <c r="H397" t="s">
        <v>77</v>
      </c>
      <c r="I397" t="s">
        <v>40</v>
      </c>
      <c r="J397">
        <v>3</v>
      </c>
      <c r="K397">
        <v>4827.49</v>
      </c>
      <c r="L397">
        <v>25</v>
      </c>
      <c r="M397">
        <v>14482.47</v>
      </c>
      <c r="N397">
        <v>9540.27</v>
      </c>
      <c r="O397">
        <v>4942.2</v>
      </c>
      <c r="P397" t="s">
        <v>29</v>
      </c>
      <c r="Q397">
        <v>4.2</v>
      </c>
      <c r="R397" t="s">
        <v>30</v>
      </c>
      <c r="S397" t="s">
        <v>94</v>
      </c>
      <c r="T397">
        <v>2024</v>
      </c>
    </row>
    <row r="398" spans="1:20" x14ac:dyDescent="0.3">
      <c r="A398" t="s">
        <v>773</v>
      </c>
      <c r="B398" t="s">
        <v>675</v>
      </c>
      <c r="C398" t="s">
        <v>22</v>
      </c>
      <c r="D398" t="s">
        <v>52</v>
      </c>
      <c r="E398" t="s">
        <v>110</v>
      </c>
      <c r="F398" t="s">
        <v>45</v>
      </c>
      <c r="G398" t="s">
        <v>105</v>
      </c>
      <c r="H398" t="s">
        <v>106</v>
      </c>
      <c r="I398" t="s">
        <v>101</v>
      </c>
      <c r="J398">
        <v>2</v>
      </c>
      <c r="K398">
        <v>14851.66</v>
      </c>
      <c r="L398">
        <v>15</v>
      </c>
      <c r="M398">
        <v>29703.32</v>
      </c>
      <c r="N398">
        <v>21502.65</v>
      </c>
      <c r="O398">
        <v>8200.67</v>
      </c>
      <c r="P398" t="s">
        <v>29</v>
      </c>
      <c r="Q398">
        <v>1.9</v>
      </c>
      <c r="R398" t="s">
        <v>30</v>
      </c>
      <c r="S398" t="s">
        <v>87</v>
      </c>
      <c r="T398">
        <v>2025</v>
      </c>
    </row>
    <row r="399" spans="1:20" x14ac:dyDescent="0.3">
      <c r="A399" t="s">
        <v>774</v>
      </c>
      <c r="B399" t="s">
        <v>775</v>
      </c>
      <c r="C399" t="s">
        <v>200</v>
      </c>
      <c r="D399" t="s">
        <v>35</v>
      </c>
      <c r="E399" t="s">
        <v>36</v>
      </c>
      <c r="F399" t="s">
        <v>37</v>
      </c>
      <c r="G399" t="s">
        <v>38</v>
      </c>
      <c r="H399" t="s">
        <v>86</v>
      </c>
      <c r="I399" t="s">
        <v>40</v>
      </c>
      <c r="J399">
        <v>3</v>
      </c>
      <c r="K399">
        <v>40248.269999999997</v>
      </c>
      <c r="L399">
        <v>5</v>
      </c>
      <c r="M399">
        <v>120744.81</v>
      </c>
      <c r="N399">
        <v>101720.27</v>
      </c>
      <c r="O399">
        <v>19024.54</v>
      </c>
      <c r="P399" t="s">
        <v>73</v>
      </c>
      <c r="Q399">
        <v>3.9</v>
      </c>
      <c r="R399" t="s">
        <v>30</v>
      </c>
      <c r="S399" t="s">
        <v>107</v>
      </c>
      <c r="T399">
        <v>2024</v>
      </c>
    </row>
    <row r="400" spans="1:20" x14ac:dyDescent="0.3">
      <c r="A400" t="s">
        <v>776</v>
      </c>
      <c r="B400" t="s">
        <v>337</v>
      </c>
      <c r="C400" t="s">
        <v>80</v>
      </c>
      <c r="D400" t="s">
        <v>81</v>
      </c>
      <c r="E400" t="s">
        <v>149</v>
      </c>
      <c r="F400" t="s">
        <v>37</v>
      </c>
      <c r="G400" t="s">
        <v>38</v>
      </c>
      <c r="H400" t="s">
        <v>39</v>
      </c>
      <c r="I400" t="s">
        <v>40</v>
      </c>
      <c r="J400">
        <v>2</v>
      </c>
      <c r="K400">
        <v>37135.360000000001</v>
      </c>
      <c r="L400">
        <v>5</v>
      </c>
      <c r="M400">
        <v>74270.720000000001</v>
      </c>
      <c r="N400">
        <v>56242.31</v>
      </c>
      <c r="O400">
        <v>18028.41</v>
      </c>
      <c r="P400" t="s">
        <v>144</v>
      </c>
      <c r="Q400">
        <v>3</v>
      </c>
      <c r="R400" t="s">
        <v>30</v>
      </c>
      <c r="S400" t="s">
        <v>42</v>
      </c>
      <c r="T400">
        <v>2024</v>
      </c>
    </row>
    <row r="401" spans="1:20" x14ac:dyDescent="0.3">
      <c r="A401" t="s">
        <v>777</v>
      </c>
      <c r="B401" t="s">
        <v>778</v>
      </c>
      <c r="C401" t="s">
        <v>116</v>
      </c>
      <c r="D401" t="s">
        <v>35</v>
      </c>
      <c r="E401" t="s">
        <v>36</v>
      </c>
      <c r="F401" t="s">
        <v>45</v>
      </c>
      <c r="G401" t="s">
        <v>105</v>
      </c>
      <c r="H401" t="s">
        <v>188</v>
      </c>
      <c r="I401" t="s">
        <v>169</v>
      </c>
      <c r="J401">
        <v>5</v>
      </c>
      <c r="K401">
        <v>25794.78</v>
      </c>
      <c r="L401">
        <v>5</v>
      </c>
      <c r="M401">
        <v>128973.9</v>
      </c>
      <c r="N401">
        <v>107536.7</v>
      </c>
      <c r="O401">
        <v>21437.200000000001</v>
      </c>
      <c r="P401" t="s">
        <v>29</v>
      </c>
      <c r="Q401">
        <v>1</v>
      </c>
      <c r="R401" t="s">
        <v>30</v>
      </c>
      <c r="S401" t="s">
        <v>162</v>
      </c>
      <c r="T401">
        <v>2024</v>
      </c>
    </row>
    <row r="402" spans="1:20" x14ac:dyDescent="0.3">
      <c r="A402" t="s">
        <v>779</v>
      </c>
      <c r="B402" t="s">
        <v>303</v>
      </c>
      <c r="C402" t="s">
        <v>200</v>
      </c>
      <c r="D402" t="s">
        <v>132</v>
      </c>
      <c r="E402" t="s">
        <v>158</v>
      </c>
      <c r="F402" t="s">
        <v>45</v>
      </c>
      <c r="G402" t="s">
        <v>105</v>
      </c>
      <c r="H402" t="s">
        <v>188</v>
      </c>
      <c r="I402" t="s">
        <v>169</v>
      </c>
      <c r="J402">
        <v>3</v>
      </c>
      <c r="K402">
        <v>47564.29</v>
      </c>
      <c r="L402">
        <v>5</v>
      </c>
      <c r="M402">
        <v>142692.87</v>
      </c>
      <c r="N402">
        <v>93140.82</v>
      </c>
      <c r="O402">
        <v>49552.05</v>
      </c>
      <c r="P402" t="s">
        <v>144</v>
      </c>
      <c r="Q402">
        <v>3.5</v>
      </c>
      <c r="R402" t="s">
        <v>30</v>
      </c>
      <c r="S402" t="s">
        <v>49</v>
      </c>
      <c r="T402">
        <v>2024</v>
      </c>
    </row>
    <row r="403" spans="1:20" x14ac:dyDescent="0.3">
      <c r="A403" t="s">
        <v>780</v>
      </c>
      <c r="B403" t="s">
        <v>781</v>
      </c>
      <c r="C403" t="s">
        <v>136</v>
      </c>
      <c r="D403" t="s">
        <v>69</v>
      </c>
      <c r="E403" t="s">
        <v>155</v>
      </c>
      <c r="F403" t="s">
        <v>62</v>
      </c>
      <c r="G403" t="s">
        <v>71</v>
      </c>
      <c r="H403" t="s">
        <v>72</v>
      </c>
      <c r="I403" t="s">
        <v>165</v>
      </c>
      <c r="J403">
        <v>3</v>
      </c>
      <c r="K403">
        <v>5500.92</v>
      </c>
      <c r="L403">
        <v>5</v>
      </c>
      <c r="M403">
        <v>16502.759999999998</v>
      </c>
      <c r="N403">
        <v>11417.27</v>
      </c>
      <c r="O403">
        <v>5085.49</v>
      </c>
      <c r="P403" t="s">
        <v>29</v>
      </c>
      <c r="Q403">
        <v>2.2999999999999998</v>
      </c>
      <c r="R403" t="s">
        <v>30</v>
      </c>
      <c r="S403" t="s">
        <v>78</v>
      </c>
      <c r="T403">
        <v>2024</v>
      </c>
    </row>
    <row r="404" spans="1:20" x14ac:dyDescent="0.3">
      <c r="A404" t="s">
        <v>782</v>
      </c>
      <c r="B404" t="s">
        <v>184</v>
      </c>
      <c r="C404" t="s">
        <v>200</v>
      </c>
      <c r="D404" t="s">
        <v>98</v>
      </c>
      <c r="E404" t="s">
        <v>99</v>
      </c>
      <c r="F404" t="s">
        <v>25</v>
      </c>
      <c r="G404" t="s">
        <v>26</v>
      </c>
      <c r="H404" t="s">
        <v>121</v>
      </c>
      <c r="I404" t="s">
        <v>28</v>
      </c>
      <c r="J404">
        <v>2</v>
      </c>
      <c r="K404">
        <v>904.29</v>
      </c>
      <c r="L404">
        <v>30</v>
      </c>
      <c r="M404">
        <v>1808.58</v>
      </c>
      <c r="N404">
        <v>1503.6</v>
      </c>
      <c r="O404">
        <v>304.98</v>
      </c>
      <c r="P404" t="s">
        <v>29</v>
      </c>
      <c r="Q404">
        <v>3.5</v>
      </c>
      <c r="R404" t="s">
        <v>30</v>
      </c>
      <c r="S404" t="s">
        <v>49</v>
      </c>
      <c r="T404">
        <v>2024</v>
      </c>
    </row>
    <row r="405" spans="1:20" x14ac:dyDescent="0.3">
      <c r="A405" t="s">
        <v>783</v>
      </c>
      <c r="B405" t="s">
        <v>784</v>
      </c>
      <c r="C405" t="s">
        <v>34</v>
      </c>
      <c r="D405" t="s">
        <v>23</v>
      </c>
      <c r="E405" t="s">
        <v>24</v>
      </c>
      <c r="F405" t="s">
        <v>54</v>
      </c>
      <c r="G405" t="s">
        <v>55</v>
      </c>
      <c r="H405" t="s">
        <v>56</v>
      </c>
      <c r="I405" t="s">
        <v>93</v>
      </c>
      <c r="J405">
        <v>2</v>
      </c>
      <c r="K405">
        <v>25035.46</v>
      </c>
      <c r="L405">
        <v>20</v>
      </c>
      <c r="M405">
        <v>50070.92</v>
      </c>
      <c r="N405">
        <v>33862.410000000003</v>
      </c>
      <c r="O405">
        <v>16208.51</v>
      </c>
      <c r="P405" t="s">
        <v>29</v>
      </c>
      <c r="Q405">
        <v>4.5</v>
      </c>
      <c r="R405" t="s">
        <v>30</v>
      </c>
      <c r="S405" t="s">
        <v>107</v>
      </c>
      <c r="T405">
        <v>2024</v>
      </c>
    </row>
    <row r="406" spans="1:20" x14ac:dyDescent="0.3">
      <c r="A406" t="s">
        <v>785</v>
      </c>
      <c r="B406" t="s">
        <v>138</v>
      </c>
      <c r="C406" t="s">
        <v>116</v>
      </c>
      <c r="D406" t="s">
        <v>132</v>
      </c>
      <c r="E406" t="s">
        <v>133</v>
      </c>
      <c r="F406" t="s">
        <v>37</v>
      </c>
      <c r="G406" t="s">
        <v>38</v>
      </c>
      <c r="H406" t="s">
        <v>77</v>
      </c>
      <c r="I406" t="s">
        <v>40</v>
      </c>
      <c r="J406">
        <v>5</v>
      </c>
      <c r="K406">
        <v>30156.36</v>
      </c>
      <c r="L406">
        <v>10</v>
      </c>
      <c r="M406">
        <v>150781.79999999999</v>
      </c>
      <c r="N406">
        <v>120830.59</v>
      </c>
      <c r="O406">
        <v>29951.21</v>
      </c>
      <c r="P406" t="s">
        <v>41</v>
      </c>
      <c r="Q406">
        <v>4.4000000000000004</v>
      </c>
      <c r="R406" t="s">
        <v>30</v>
      </c>
      <c r="S406" t="s">
        <v>87</v>
      </c>
      <c r="T406">
        <v>2025</v>
      </c>
    </row>
    <row r="407" spans="1:20" x14ac:dyDescent="0.3">
      <c r="A407" t="s">
        <v>786</v>
      </c>
      <c r="B407" t="s">
        <v>305</v>
      </c>
      <c r="C407" t="s">
        <v>200</v>
      </c>
      <c r="D407" t="s">
        <v>81</v>
      </c>
      <c r="E407" t="s">
        <v>149</v>
      </c>
      <c r="F407" t="s">
        <v>37</v>
      </c>
      <c r="G407" t="s">
        <v>38</v>
      </c>
      <c r="H407" t="s">
        <v>86</v>
      </c>
      <c r="I407" t="s">
        <v>40</v>
      </c>
      <c r="J407">
        <v>1</v>
      </c>
      <c r="K407">
        <v>42189.9</v>
      </c>
      <c r="L407">
        <v>5</v>
      </c>
      <c r="M407">
        <v>42189.9</v>
      </c>
      <c r="N407">
        <v>35828.589999999997</v>
      </c>
      <c r="O407">
        <v>6361.31</v>
      </c>
      <c r="P407" t="s">
        <v>122</v>
      </c>
      <c r="Q407">
        <v>3.4</v>
      </c>
      <c r="R407" t="s">
        <v>30</v>
      </c>
      <c r="S407" t="s">
        <v>87</v>
      </c>
      <c r="T407">
        <v>2025</v>
      </c>
    </row>
    <row r="408" spans="1:20" x14ac:dyDescent="0.3">
      <c r="A408" t="s">
        <v>787</v>
      </c>
      <c r="B408" t="s">
        <v>280</v>
      </c>
      <c r="C408" t="s">
        <v>97</v>
      </c>
      <c r="D408" t="s">
        <v>125</v>
      </c>
      <c r="E408" t="s">
        <v>139</v>
      </c>
      <c r="F408" t="s">
        <v>37</v>
      </c>
      <c r="G408" t="s">
        <v>38</v>
      </c>
      <c r="H408" t="s">
        <v>39</v>
      </c>
      <c r="I408" t="s">
        <v>40</v>
      </c>
      <c r="J408">
        <v>2</v>
      </c>
      <c r="K408">
        <v>41122.81</v>
      </c>
      <c r="L408">
        <v>25</v>
      </c>
      <c r="M408">
        <v>82245.62</v>
      </c>
      <c r="N408">
        <v>68500.14</v>
      </c>
      <c r="O408">
        <v>13745.48</v>
      </c>
      <c r="P408" t="s">
        <v>144</v>
      </c>
      <c r="Q408">
        <v>4.8</v>
      </c>
      <c r="R408" t="s">
        <v>30</v>
      </c>
      <c r="S408" t="s">
        <v>42</v>
      </c>
      <c r="T408">
        <v>2024</v>
      </c>
    </row>
    <row r="409" spans="1:20" x14ac:dyDescent="0.3">
      <c r="A409" t="s">
        <v>788</v>
      </c>
      <c r="B409" t="s">
        <v>497</v>
      </c>
      <c r="C409" t="s">
        <v>200</v>
      </c>
      <c r="D409" t="s">
        <v>125</v>
      </c>
      <c r="E409" t="s">
        <v>139</v>
      </c>
      <c r="F409" t="s">
        <v>37</v>
      </c>
      <c r="G409" t="s">
        <v>38</v>
      </c>
      <c r="H409" t="s">
        <v>140</v>
      </c>
      <c r="I409" t="s">
        <v>40</v>
      </c>
      <c r="J409">
        <v>1</v>
      </c>
      <c r="K409">
        <v>21705.78</v>
      </c>
      <c r="L409">
        <v>15</v>
      </c>
      <c r="M409">
        <v>21705.78</v>
      </c>
      <c r="N409">
        <v>15783.09</v>
      </c>
      <c r="O409">
        <v>5922.69</v>
      </c>
      <c r="P409" t="s">
        <v>113</v>
      </c>
      <c r="Q409">
        <v>1.1000000000000001</v>
      </c>
      <c r="R409" t="s">
        <v>30</v>
      </c>
      <c r="S409" t="s">
        <v>74</v>
      </c>
      <c r="T409">
        <v>2024</v>
      </c>
    </row>
    <row r="410" spans="1:20" x14ac:dyDescent="0.3">
      <c r="A410" t="s">
        <v>789</v>
      </c>
      <c r="B410" t="s">
        <v>561</v>
      </c>
      <c r="C410" t="s">
        <v>34</v>
      </c>
      <c r="D410" t="s">
        <v>81</v>
      </c>
      <c r="E410" t="s">
        <v>82</v>
      </c>
      <c r="F410" t="s">
        <v>54</v>
      </c>
      <c r="G410" t="s">
        <v>55</v>
      </c>
      <c r="H410" t="s">
        <v>91</v>
      </c>
      <c r="I410" t="s">
        <v>57</v>
      </c>
      <c r="J410">
        <v>3</v>
      </c>
      <c r="K410">
        <v>28391.65</v>
      </c>
      <c r="L410">
        <v>15</v>
      </c>
      <c r="M410">
        <v>85174.95</v>
      </c>
      <c r="N410">
        <v>63547.63</v>
      </c>
      <c r="O410">
        <v>21627.32</v>
      </c>
      <c r="P410" t="s">
        <v>29</v>
      </c>
      <c r="Q410">
        <v>2.5</v>
      </c>
      <c r="R410" t="s">
        <v>30</v>
      </c>
      <c r="S410" t="s">
        <v>42</v>
      </c>
      <c r="T410">
        <v>2024</v>
      </c>
    </row>
    <row r="411" spans="1:20" x14ac:dyDescent="0.3">
      <c r="A411" t="s">
        <v>790</v>
      </c>
      <c r="B411" t="s">
        <v>791</v>
      </c>
      <c r="C411" t="s">
        <v>22</v>
      </c>
      <c r="D411" t="s">
        <v>23</v>
      </c>
      <c r="E411" t="s">
        <v>24</v>
      </c>
      <c r="F411" t="s">
        <v>62</v>
      </c>
      <c r="G411" t="s">
        <v>63</v>
      </c>
      <c r="H411" t="s">
        <v>72</v>
      </c>
      <c r="I411" t="s">
        <v>143</v>
      </c>
      <c r="J411">
        <v>2</v>
      </c>
      <c r="K411">
        <v>40031.86</v>
      </c>
      <c r="L411">
        <v>15</v>
      </c>
      <c r="M411">
        <v>80063.72</v>
      </c>
      <c r="N411">
        <v>66832.27</v>
      </c>
      <c r="O411">
        <v>13231.45</v>
      </c>
      <c r="P411" t="s">
        <v>113</v>
      </c>
      <c r="Q411">
        <v>1.9</v>
      </c>
      <c r="R411" t="s">
        <v>30</v>
      </c>
      <c r="S411" t="s">
        <v>42</v>
      </c>
      <c r="T411">
        <v>2024</v>
      </c>
    </row>
    <row r="412" spans="1:20" x14ac:dyDescent="0.3">
      <c r="A412" t="s">
        <v>792</v>
      </c>
      <c r="B412" t="s">
        <v>305</v>
      </c>
      <c r="C412" t="s">
        <v>97</v>
      </c>
      <c r="D412" t="s">
        <v>125</v>
      </c>
      <c r="E412" t="s">
        <v>126</v>
      </c>
      <c r="F412" t="s">
        <v>62</v>
      </c>
      <c r="G412" t="s">
        <v>71</v>
      </c>
      <c r="H412" t="s">
        <v>72</v>
      </c>
      <c r="I412" t="s">
        <v>165</v>
      </c>
      <c r="J412">
        <v>4</v>
      </c>
      <c r="K412">
        <v>41248.019999999997</v>
      </c>
      <c r="L412">
        <v>15</v>
      </c>
      <c r="M412">
        <v>164992.07999999999</v>
      </c>
      <c r="N412">
        <v>121795.97</v>
      </c>
      <c r="O412">
        <v>43196.11</v>
      </c>
      <c r="P412" t="s">
        <v>122</v>
      </c>
      <c r="Q412">
        <v>2.6</v>
      </c>
      <c r="R412" t="s">
        <v>30</v>
      </c>
      <c r="S412" t="s">
        <v>87</v>
      </c>
      <c r="T412">
        <v>2025</v>
      </c>
    </row>
    <row r="413" spans="1:20" x14ac:dyDescent="0.3">
      <c r="A413" t="s">
        <v>793</v>
      </c>
      <c r="B413" t="s">
        <v>44</v>
      </c>
      <c r="C413" t="s">
        <v>200</v>
      </c>
      <c r="D413" t="s">
        <v>125</v>
      </c>
      <c r="E413" t="s">
        <v>139</v>
      </c>
      <c r="F413" t="s">
        <v>45</v>
      </c>
      <c r="G413" t="s">
        <v>46</v>
      </c>
      <c r="H413" t="s">
        <v>188</v>
      </c>
      <c r="I413" t="s">
        <v>48</v>
      </c>
      <c r="J413">
        <v>2</v>
      </c>
      <c r="K413">
        <v>35325.379999999997</v>
      </c>
      <c r="L413">
        <v>15</v>
      </c>
      <c r="M413">
        <v>70650.759999999995</v>
      </c>
      <c r="N413">
        <v>51945.39</v>
      </c>
      <c r="O413">
        <v>18705.37</v>
      </c>
      <c r="P413" t="s">
        <v>41</v>
      </c>
      <c r="Q413">
        <v>4.0999999999999996</v>
      </c>
      <c r="R413" t="s">
        <v>30</v>
      </c>
      <c r="S413" t="s">
        <v>49</v>
      </c>
      <c r="T413">
        <v>2024</v>
      </c>
    </row>
    <row r="414" spans="1:20" x14ac:dyDescent="0.3">
      <c r="A414" t="s">
        <v>794</v>
      </c>
      <c r="B414" t="s">
        <v>795</v>
      </c>
      <c r="C414" t="s">
        <v>168</v>
      </c>
      <c r="D414" t="s">
        <v>35</v>
      </c>
      <c r="E414" t="s">
        <v>36</v>
      </c>
      <c r="F414" t="s">
        <v>62</v>
      </c>
      <c r="G414" t="s">
        <v>63</v>
      </c>
      <c r="H414" t="s">
        <v>72</v>
      </c>
      <c r="I414" t="s">
        <v>165</v>
      </c>
      <c r="J414">
        <v>1</v>
      </c>
      <c r="K414">
        <v>45866.22</v>
      </c>
      <c r="L414">
        <v>15</v>
      </c>
      <c r="M414">
        <v>45866.22</v>
      </c>
      <c r="N414">
        <v>29928.48</v>
      </c>
      <c r="O414">
        <v>15937.74</v>
      </c>
      <c r="P414" t="s">
        <v>113</v>
      </c>
      <c r="Q414">
        <v>3.9</v>
      </c>
      <c r="R414" t="s">
        <v>30</v>
      </c>
      <c r="S414" t="s">
        <v>42</v>
      </c>
      <c r="T414">
        <v>2024</v>
      </c>
    </row>
    <row r="415" spans="1:20" x14ac:dyDescent="0.3">
      <c r="A415" t="s">
        <v>796</v>
      </c>
      <c r="B415" t="s">
        <v>797</v>
      </c>
      <c r="C415" t="s">
        <v>97</v>
      </c>
      <c r="D415" t="s">
        <v>69</v>
      </c>
      <c r="E415" t="s">
        <v>155</v>
      </c>
      <c r="F415" t="s">
        <v>37</v>
      </c>
      <c r="G415" t="s">
        <v>38</v>
      </c>
      <c r="H415" t="s">
        <v>327</v>
      </c>
      <c r="I415" t="s">
        <v>40</v>
      </c>
      <c r="J415">
        <v>4</v>
      </c>
      <c r="K415">
        <v>42975.360000000001</v>
      </c>
      <c r="L415">
        <v>5</v>
      </c>
      <c r="M415">
        <v>171901.44</v>
      </c>
      <c r="N415">
        <v>138886.47</v>
      </c>
      <c r="O415">
        <v>33014.97</v>
      </c>
      <c r="P415" t="s">
        <v>113</v>
      </c>
      <c r="Q415">
        <v>3.3</v>
      </c>
      <c r="R415" t="s">
        <v>30</v>
      </c>
      <c r="S415" t="s">
        <v>162</v>
      </c>
      <c r="T415">
        <v>2024</v>
      </c>
    </row>
    <row r="416" spans="1:20" x14ac:dyDescent="0.3">
      <c r="A416" t="s">
        <v>798</v>
      </c>
      <c r="B416" t="s">
        <v>603</v>
      </c>
      <c r="C416" t="s">
        <v>34</v>
      </c>
      <c r="D416" t="s">
        <v>98</v>
      </c>
      <c r="E416" t="s">
        <v>99</v>
      </c>
      <c r="F416" t="s">
        <v>54</v>
      </c>
      <c r="G416" t="s">
        <v>228</v>
      </c>
      <c r="H416" t="s">
        <v>92</v>
      </c>
      <c r="I416" t="s">
        <v>93</v>
      </c>
      <c r="J416">
        <v>5</v>
      </c>
      <c r="K416">
        <v>7532.86</v>
      </c>
      <c r="L416">
        <v>25</v>
      </c>
      <c r="M416">
        <v>37664.300000000003</v>
      </c>
      <c r="N416">
        <v>25876.880000000001</v>
      </c>
      <c r="O416">
        <v>11787.42</v>
      </c>
      <c r="P416" t="s">
        <v>41</v>
      </c>
      <c r="Q416">
        <v>1.5</v>
      </c>
      <c r="R416" t="s">
        <v>30</v>
      </c>
      <c r="S416" t="s">
        <v>102</v>
      </c>
      <c r="T416">
        <v>2025</v>
      </c>
    </row>
    <row r="417" spans="1:20" x14ac:dyDescent="0.3">
      <c r="A417" t="s">
        <v>799</v>
      </c>
      <c r="B417" t="s">
        <v>775</v>
      </c>
      <c r="C417" t="s">
        <v>90</v>
      </c>
      <c r="D417" t="s">
        <v>52</v>
      </c>
      <c r="E417" t="s">
        <v>53</v>
      </c>
      <c r="F417" t="s">
        <v>45</v>
      </c>
      <c r="G417" t="s">
        <v>46</v>
      </c>
      <c r="H417" t="s">
        <v>47</v>
      </c>
      <c r="I417" t="s">
        <v>101</v>
      </c>
      <c r="J417">
        <v>4</v>
      </c>
      <c r="K417">
        <v>39931.75</v>
      </c>
      <c r="L417">
        <v>5</v>
      </c>
      <c r="M417">
        <v>159727</v>
      </c>
      <c r="N417">
        <v>130701.65</v>
      </c>
      <c r="O417">
        <v>29025.35</v>
      </c>
      <c r="P417" t="s">
        <v>122</v>
      </c>
      <c r="Q417">
        <v>2.4</v>
      </c>
      <c r="R417" t="s">
        <v>30</v>
      </c>
      <c r="S417" t="s">
        <v>107</v>
      </c>
      <c r="T417">
        <v>2024</v>
      </c>
    </row>
    <row r="418" spans="1:20" x14ac:dyDescent="0.3">
      <c r="A418" t="s">
        <v>800</v>
      </c>
      <c r="B418" t="s">
        <v>772</v>
      </c>
      <c r="C418" t="s">
        <v>97</v>
      </c>
      <c r="D418" t="s">
        <v>81</v>
      </c>
      <c r="E418" t="s">
        <v>128</v>
      </c>
      <c r="F418" t="s">
        <v>54</v>
      </c>
      <c r="G418" t="s">
        <v>55</v>
      </c>
      <c r="H418" t="s">
        <v>91</v>
      </c>
      <c r="I418" t="s">
        <v>180</v>
      </c>
      <c r="J418">
        <v>4</v>
      </c>
      <c r="K418">
        <v>20760.439999999999</v>
      </c>
      <c r="L418">
        <v>20</v>
      </c>
      <c r="M418">
        <v>83041.759999999995</v>
      </c>
      <c r="N418">
        <v>68487.59</v>
      </c>
      <c r="O418">
        <v>14554.17</v>
      </c>
      <c r="P418" t="s">
        <v>113</v>
      </c>
      <c r="Q418">
        <v>2.4</v>
      </c>
      <c r="R418" t="s">
        <v>30</v>
      </c>
      <c r="S418" t="s">
        <v>94</v>
      </c>
      <c r="T418">
        <v>2024</v>
      </c>
    </row>
    <row r="419" spans="1:20" x14ac:dyDescent="0.3">
      <c r="A419" t="s">
        <v>801</v>
      </c>
      <c r="B419" t="s">
        <v>157</v>
      </c>
      <c r="C419" t="s">
        <v>200</v>
      </c>
      <c r="D419" t="s">
        <v>81</v>
      </c>
      <c r="E419" t="s">
        <v>128</v>
      </c>
      <c r="F419" t="s">
        <v>37</v>
      </c>
      <c r="G419" t="s">
        <v>38</v>
      </c>
      <c r="H419" t="s">
        <v>140</v>
      </c>
      <c r="I419" t="s">
        <v>40</v>
      </c>
      <c r="J419">
        <v>5</v>
      </c>
      <c r="K419">
        <v>29466.3</v>
      </c>
      <c r="L419">
        <v>15</v>
      </c>
      <c r="M419">
        <v>147331.5</v>
      </c>
      <c r="N419">
        <v>119557.29</v>
      </c>
      <c r="O419">
        <v>27774.21</v>
      </c>
      <c r="P419" t="s">
        <v>144</v>
      </c>
      <c r="Q419">
        <v>1.3</v>
      </c>
      <c r="R419" t="s">
        <v>30</v>
      </c>
      <c r="S419" t="s">
        <v>78</v>
      </c>
      <c r="T419">
        <v>2024</v>
      </c>
    </row>
    <row r="420" spans="1:20" x14ac:dyDescent="0.3">
      <c r="A420" t="s">
        <v>802</v>
      </c>
      <c r="B420" t="s">
        <v>554</v>
      </c>
      <c r="C420" t="s">
        <v>22</v>
      </c>
      <c r="D420" t="s">
        <v>23</v>
      </c>
      <c r="E420" t="s">
        <v>24</v>
      </c>
      <c r="F420" t="s">
        <v>45</v>
      </c>
      <c r="G420" t="s">
        <v>46</v>
      </c>
      <c r="H420" t="s">
        <v>47</v>
      </c>
      <c r="I420" t="s">
        <v>169</v>
      </c>
      <c r="J420">
        <v>3</v>
      </c>
      <c r="K420">
        <v>756.85</v>
      </c>
      <c r="L420">
        <v>5</v>
      </c>
      <c r="M420">
        <v>2270.5500000000002</v>
      </c>
      <c r="N420">
        <v>1535.54</v>
      </c>
      <c r="O420">
        <v>735.01</v>
      </c>
      <c r="P420" t="s">
        <v>41</v>
      </c>
      <c r="Q420">
        <v>4.8</v>
      </c>
      <c r="R420" t="s">
        <v>30</v>
      </c>
      <c r="S420" t="s">
        <v>58</v>
      </c>
      <c r="T420">
        <v>2024</v>
      </c>
    </row>
    <row r="421" spans="1:20" x14ac:dyDescent="0.3">
      <c r="A421" t="s">
        <v>803</v>
      </c>
      <c r="B421" t="s">
        <v>190</v>
      </c>
      <c r="C421" t="s">
        <v>90</v>
      </c>
      <c r="D421" t="s">
        <v>98</v>
      </c>
      <c r="E421" t="s">
        <v>99</v>
      </c>
      <c r="F421" t="s">
        <v>54</v>
      </c>
      <c r="G421" t="s">
        <v>55</v>
      </c>
      <c r="H421" t="s">
        <v>56</v>
      </c>
      <c r="I421" t="s">
        <v>185</v>
      </c>
      <c r="J421">
        <v>4</v>
      </c>
      <c r="K421">
        <v>43711.45</v>
      </c>
      <c r="L421">
        <v>10</v>
      </c>
      <c r="M421">
        <v>174845.8</v>
      </c>
      <c r="N421">
        <v>137968.65</v>
      </c>
      <c r="O421">
        <v>36877.15</v>
      </c>
      <c r="P421" t="s">
        <v>73</v>
      </c>
      <c r="Q421">
        <v>4.5</v>
      </c>
      <c r="R421" t="s">
        <v>30</v>
      </c>
      <c r="S421" t="s">
        <v>119</v>
      </c>
      <c r="T421">
        <v>2024</v>
      </c>
    </row>
    <row r="422" spans="1:20" x14ac:dyDescent="0.3">
      <c r="A422" t="s">
        <v>804</v>
      </c>
      <c r="B422" t="s">
        <v>805</v>
      </c>
      <c r="C422" t="s">
        <v>22</v>
      </c>
      <c r="D422" t="s">
        <v>23</v>
      </c>
      <c r="E422" t="s">
        <v>24</v>
      </c>
      <c r="F422" t="s">
        <v>25</v>
      </c>
      <c r="G422" t="s">
        <v>111</v>
      </c>
      <c r="H422" t="s">
        <v>121</v>
      </c>
      <c r="I422" t="s">
        <v>112</v>
      </c>
      <c r="J422">
        <v>2</v>
      </c>
      <c r="K422">
        <v>1134.78</v>
      </c>
      <c r="L422">
        <v>10</v>
      </c>
      <c r="M422">
        <v>2269.56</v>
      </c>
      <c r="N422">
        <v>1689.39</v>
      </c>
      <c r="O422">
        <v>580.16999999999996</v>
      </c>
      <c r="P422" t="s">
        <v>29</v>
      </c>
      <c r="Q422">
        <v>3.9</v>
      </c>
      <c r="R422" t="s">
        <v>30</v>
      </c>
      <c r="S422" t="s">
        <v>119</v>
      </c>
      <c r="T422">
        <v>2024</v>
      </c>
    </row>
    <row r="423" spans="1:20" x14ac:dyDescent="0.3">
      <c r="A423" t="s">
        <v>806</v>
      </c>
      <c r="B423" t="s">
        <v>497</v>
      </c>
      <c r="C423" t="s">
        <v>116</v>
      </c>
      <c r="D423" t="s">
        <v>125</v>
      </c>
      <c r="E423" t="s">
        <v>126</v>
      </c>
      <c r="F423" t="s">
        <v>62</v>
      </c>
      <c r="G423" t="s">
        <v>63</v>
      </c>
      <c r="H423" t="s">
        <v>271</v>
      </c>
      <c r="I423" t="s">
        <v>65</v>
      </c>
      <c r="J423">
        <v>3</v>
      </c>
      <c r="K423">
        <v>6859</v>
      </c>
      <c r="L423">
        <v>20</v>
      </c>
      <c r="M423">
        <v>20577</v>
      </c>
      <c r="N423">
        <v>14604.55</v>
      </c>
      <c r="O423">
        <v>5972.45</v>
      </c>
      <c r="P423" t="s">
        <v>144</v>
      </c>
      <c r="Q423">
        <v>1.6</v>
      </c>
      <c r="R423" t="s">
        <v>30</v>
      </c>
      <c r="S423" t="s">
        <v>74</v>
      </c>
      <c r="T423">
        <v>2024</v>
      </c>
    </row>
    <row r="424" spans="1:20" x14ac:dyDescent="0.3">
      <c r="A424" t="s">
        <v>807</v>
      </c>
      <c r="B424" t="s">
        <v>190</v>
      </c>
      <c r="C424" t="s">
        <v>90</v>
      </c>
      <c r="D424" t="s">
        <v>125</v>
      </c>
      <c r="E424" t="s">
        <v>126</v>
      </c>
      <c r="F424" t="s">
        <v>25</v>
      </c>
      <c r="G424" t="s">
        <v>26</v>
      </c>
      <c r="H424" t="s">
        <v>235</v>
      </c>
      <c r="I424" t="s">
        <v>28</v>
      </c>
      <c r="J424">
        <v>3</v>
      </c>
      <c r="K424">
        <v>28818.74</v>
      </c>
      <c r="L424">
        <v>25</v>
      </c>
      <c r="M424">
        <v>86456.22</v>
      </c>
      <c r="N424">
        <v>69143.55</v>
      </c>
      <c r="O424">
        <v>17312.669999999998</v>
      </c>
      <c r="P424" t="s">
        <v>29</v>
      </c>
      <c r="Q424">
        <v>1.4</v>
      </c>
      <c r="R424" t="s">
        <v>30</v>
      </c>
      <c r="S424" t="s">
        <v>119</v>
      </c>
      <c r="T424">
        <v>2024</v>
      </c>
    </row>
    <row r="425" spans="1:20" x14ac:dyDescent="0.3">
      <c r="A425" t="s">
        <v>808</v>
      </c>
      <c r="B425" t="s">
        <v>809</v>
      </c>
      <c r="C425" t="s">
        <v>116</v>
      </c>
      <c r="D425" t="s">
        <v>125</v>
      </c>
      <c r="E425" t="s">
        <v>126</v>
      </c>
      <c r="F425" t="s">
        <v>54</v>
      </c>
      <c r="G425" t="s">
        <v>228</v>
      </c>
      <c r="H425" t="s">
        <v>179</v>
      </c>
      <c r="I425" t="s">
        <v>180</v>
      </c>
      <c r="J425">
        <v>4</v>
      </c>
      <c r="K425">
        <v>25233.95</v>
      </c>
      <c r="L425">
        <v>5</v>
      </c>
      <c r="M425">
        <v>100935.8</v>
      </c>
      <c r="N425">
        <v>68199.58</v>
      </c>
      <c r="O425">
        <v>32736.22</v>
      </c>
      <c r="P425" t="s">
        <v>113</v>
      </c>
      <c r="Q425">
        <v>4.0999999999999996</v>
      </c>
      <c r="R425" t="s">
        <v>30</v>
      </c>
      <c r="S425" t="s">
        <v>74</v>
      </c>
      <c r="T425">
        <v>2024</v>
      </c>
    </row>
    <row r="426" spans="1:20" x14ac:dyDescent="0.3">
      <c r="A426" t="s">
        <v>810</v>
      </c>
      <c r="B426" t="s">
        <v>811</v>
      </c>
      <c r="C426" t="s">
        <v>61</v>
      </c>
      <c r="D426" t="s">
        <v>125</v>
      </c>
      <c r="E426" t="s">
        <v>126</v>
      </c>
      <c r="F426" t="s">
        <v>25</v>
      </c>
      <c r="G426" t="s">
        <v>26</v>
      </c>
      <c r="H426" t="s">
        <v>27</v>
      </c>
      <c r="I426" t="s">
        <v>112</v>
      </c>
      <c r="J426">
        <v>1</v>
      </c>
      <c r="K426">
        <v>28577.34</v>
      </c>
      <c r="L426">
        <v>15</v>
      </c>
      <c r="M426">
        <v>28577.34</v>
      </c>
      <c r="N426">
        <v>23257.51</v>
      </c>
      <c r="O426">
        <v>5319.83</v>
      </c>
      <c r="P426" t="s">
        <v>41</v>
      </c>
      <c r="Q426">
        <v>2.7</v>
      </c>
      <c r="R426" t="s">
        <v>30</v>
      </c>
      <c r="S426" t="s">
        <v>162</v>
      </c>
      <c r="T426">
        <v>2024</v>
      </c>
    </row>
    <row r="427" spans="1:20" x14ac:dyDescent="0.3">
      <c r="A427" t="s">
        <v>812</v>
      </c>
      <c r="B427" t="s">
        <v>813</v>
      </c>
      <c r="C427" t="s">
        <v>168</v>
      </c>
      <c r="D427" t="s">
        <v>35</v>
      </c>
      <c r="E427" t="s">
        <v>36</v>
      </c>
      <c r="F427" t="s">
        <v>62</v>
      </c>
      <c r="G427" t="s">
        <v>71</v>
      </c>
      <c r="H427" t="s">
        <v>152</v>
      </c>
      <c r="I427" t="s">
        <v>165</v>
      </c>
      <c r="J427">
        <v>3</v>
      </c>
      <c r="K427">
        <v>7322.87</v>
      </c>
      <c r="L427">
        <v>25</v>
      </c>
      <c r="M427">
        <v>21968.61</v>
      </c>
      <c r="N427">
        <v>18006.73</v>
      </c>
      <c r="O427">
        <v>3961.88</v>
      </c>
      <c r="P427" t="s">
        <v>113</v>
      </c>
      <c r="Q427">
        <v>5</v>
      </c>
      <c r="R427" t="s">
        <v>30</v>
      </c>
      <c r="S427" t="s">
        <v>102</v>
      </c>
      <c r="T427">
        <v>2024</v>
      </c>
    </row>
    <row r="428" spans="1:20" x14ac:dyDescent="0.3">
      <c r="A428" t="s">
        <v>814</v>
      </c>
      <c r="B428" t="s">
        <v>815</v>
      </c>
      <c r="C428" t="s">
        <v>80</v>
      </c>
      <c r="D428" t="s">
        <v>98</v>
      </c>
      <c r="E428" t="s">
        <v>99</v>
      </c>
      <c r="F428" t="s">
        <v>25</v>
      </c>
      <c r="G428" t="s">
        <v>111</v>
      </c>
      <c r="H428" t="s">
        <v>221</v>
      </c>
      <c r="I428" t="s">
        <v>28</v>
      </c>
      <c r="J428">
        <v>4</v>
      </c>
      <c r="K428">
        <v>25144.48</v>
      </c>
      <c r="L428">
        <v>5</v>
      </c>
      <c r="M428">
        <v>100577.92</v>
      </c>
      <c r="N428">
        <v>66689.38</v>
      </c>
      <c r="O428">
        <v>33888.54</v>
      </c>
      <c r="P428" t="s">
        <v>144</v>
      </c>
      <c r="Q428">
        <v>1.3</v>
      </c>
      <c r="R428" t="s">
        <v>30</v>
      </c>
      <c r="S428" t="s">
        <v>49</v>
      </c>
      <c r="T428">
        <v>2024</v>
      </c>
    </row>
    <row r="429" spans="1:20" x14ac:dyDescent="0.3">
      <c r="A429" t="s">
        <v>816</v>
      </c>
      <c r="B429" t="s">
        <v>502</v>
      </c>
      <c r="C429" t="s">
        <v>34</v>
      </c>
      <c r="D429" t="s">
        <v>125</v>
      </c>
      <c r="E429" t="s">
        <v>139</v>
      </c>
      <c r="F429" t="s">
        <v>62</v>
      </c>
      <c r="G429" t="s">
        <v>71</v>
      </c>
      <c r="H429" t="s">
        <v>72</v>
      </c>
      <c r="I429" t="s">
        <v>143</v>
      </c>
      <c r="J429">
        <v>5</v>
      </c>
      <c r="K429">
        <v>16289.17</v>
      </c>
      <c r="L429">
        <v>10</v>
      </c>
      <c r="M429">
        <v>81445.850000000006</v>
      </c>
      <c r="N429">
        <v>56960.52</v>
      </c>
      <c r="O429">
        <v>24485.33</v>
      </c>
      <c r="P429" t="s">
        <v>144</v>
      </c>
      <c r="Q429">
        <v>2.6</v>
      </c>
      <c r="R429" t="s">
        <v>30</v>
      </c>
      <c r="S429" t="s">
        <v>58</v>
      </c>
      <c r="T429">
        <v>2024</v>
      </c>
    </row>
    <row r="430" spans="1:20" x14ac:dyDescent="0.3">
      <c r="A430" t="s">
        <v>817</v>
      </c>
      <c r="B430" t="s">
        <v>634</v>
      </c>
      <c r="C430" t="s">
        <v>136</v>
      </c>
      <c r="D430" t="s">
        <v>125</v>
      </c>
      <c r="E430" t="s">
        <v>139</v>
      </c>
      <c r="F430" t="s">
        <v>25</v>
      </c>
      <c r="G430" t="s">
        <v>26</v>
      </c>
      <c r="H430" t="s">
        <v>121</v>
      </c>
      <c r="I430" t="s">
        <v>112</v>
      </c>
      <c r="J430">
        <v>3</v>
      </c>
      <c r="K430">
        <v>24973.13</v>
      </c>
      <c r="L430">
        <v>15</v>
      </c>
      <c r="M430">
        <v>74919.39</v>
      </c>
      <c r="N430">
        <v>61574.01</v>
      </c>
      <c r="O430">
        <v>13345.38</v>
      </c>
      <c r="P430" t="s">
        <v>29</v>
      </c>
      <c r="Q430">
        <v>3.2</v>
      </c>
      <c r="R430" t="s">
        <v>30</v>
      </c>
      <c r="S430" t="s">
        <v>42</v>
      </c>
      <c r="T430">
        <v>2024</v>
      </c>
    </row>
    <row r="431" spans="1:20" x14ac:dyDescent="0.3">
      <c r="A431" t="s">
        <v>818</v>
      </c>
      <c r="B431" t="s">
        <v>234</v>
      </c>
      <c r="C431" t="s">
        <v>200</v>
      </c>
      <c r="D431" t="s">
        <v>81</v>
      </c>
      <c r="E431" t="s">
        <v>82</v>
      </c>
      <c r="F431" t="s">
        <v>62</v>
      </c>
      <c r="G431" t="s">
        <v>71</v>
      </c>
      <c r="H431" t="s">
        <v>64</v>
      </c>
      <c r="I431" t="s">
        <v>143</v>
      </c>
      <c r="J431">
        <v>2</v>
      </c>
      <c r="K431">
        <v>5804.38</v>
      </c>
      <c r="L431">
        <v>30</v>
      </c>
      <c r="M431">
        <v>11608.76</v>
      </c>
      <c r="N431">
        <v>9709.75</v>
      </c>
      <c r="O431">
        <v>1899.01</v>
      </c>
      <c r="P431" t="s">
        <v>113</v>
      </c>
      <c r="Q431">
        <v>2.2000000000000002</v>
      </c>
      <c r="R431" t="s">
        <v>30</v>
      </c>
      <c r="S431" t="s">
        <v>49</v>
      </c>
      <c r="T431">
        <v>2024</v>
      </c>
    </row>
    <row r="432" spans="1:20" x14ac:dyDescent="0.3">
      <c r="A432" t="s">
        <v>819</v>
      </c>
      <c r="B432" t="s">
        <v>820</v>
      </c>
      <c r="C432" t="s">
        <v>136</v>
      </c>
      <c r="D432" t="s">
        <v>69</v>
      </c>
      <c r="E432" t="s">
        <v>70</v>
      </c>
      <c r="F432" t="s">
        <v>37</v>
      </c>
      <c r="G432" t="s">
        <v>38</v>
      </c>
      <c r="H432" t="s">
        <v>39</v>
      </c>
      <c r="I432" t="s">
        <v>40</v>
      </c>
      <c r="J432">
        <v>1</v>
      </c>
      <c r="K432">
        <v>43502.85</v>
      </c>
      <c r="L432">
        <v>20</v>
      </c>
      <c r="M432">
        <v>43502.85</v>
      </c>
      <c r="N432">
        <v>35410.61</v>
      </c>
      <c r="O432">
        <v>8092.24</v>
      </c>
      <c r="P432" t="s">
        <v>144</v>
      </c>
      <c r="Q432">
        <v>4.2</v>
      </c>
      <c r="R432" t="s">
        <v>30</v>
      </c>
      <c r="S432" t="s">
        <v>94</v>
      </c>
      <c r="T432">
        <v>2024</v>
      </c>
    </row>
    <row r="433" spans="1:20" x14ac:dyDescent="0.3">
      <c r="A433" t="s">
        <v>821</v>
      </c>
      <c r="B433" t="s">
        <v>822</v>
      </c>
      <c r="C433" t="s">
        <v>22</v>
      </c>
      <c r="D433" t="s">
        <v>69</v>
      </c>
      <c r="E433" t="s">
        <v>155</v>
      </c>
      <c r="F433" t="s">
        <v>54</v>
      </c>
      <c r="G433" t="s">
        <v>55</v>
      </c>
      <c r="H433" t="s">
        <v>117</v>
      </c>
      <c r="I433" t="s">
        <v>118</v>
      </c>
      <c r="J433">
        <v>5</v>
      </c>
      <c r="K433">
        <v>46770.01</v>
      </c>
      <c r="L433">
        <v>30</v>
      </c>
      <c r="M433">
        <v>233850.05</v>
      </c>
      <c r="N433">
        <v>157174.32999999999</v>
      </c>
      <c r="O433">
        <v>76675.72</v>
      </c>
      <c r="P433" t="s">
        <v>144</v>
      </c>
      <c r="Q433">
        <v>2.9</v>
      </c>
      <c r="R433" t="s">
        <v>30</v>
      </c>
      <c r="S433" t="s">
        <v>107</v>
      </c>
      <c r="T433">
        <v>2024</v>
      </c>
    </row>
    <row r="434" spans="1:20" x14ac:dyDescent="0.3">
      <c r="A434" t="s">
        <v>823</v>
      </c>
      <c r="B434" t="s">
        <v>824</v>
      </c>
      <c r="C434" t="s">
        <v>22</v>
      </c>
      <c r="D434" t="s">
        <v>125</v>
      </c>
      <c r="E434" t="s">
        <v>139</v>
      </c>
      <c r="F434" t="s">
        <v>54</v>
      </c>
      <c r="G434" t="s">
        <v>201</v>
      </c>
      <c r="H434" t="s">
        <v>179</v>
      </c>
      <c r="I434" t="s">
        <v>296</v>
      </c>
      <c r="J434">
        <v>2</v>
      </c>
      <c r="K434">
        <v>38160.980000000003</v>
      </c>
      <c r="L434">
        <v>5</v>
      </c>
      <c r="M434">
        <v>76321.960000000006</v>
      </c>
      <c r="N434">
        <v>53194.07</v>
      </c>
      <c r="O434">
        <v>23127.89</v>
      </c>
      <c r="P434" t="s">
        <v>29</v>
      </c>
      <c r="Q434">
        <v>4</v>
      </c>
      <c r="R434" t="s">
        <v>30</v>
      </c>
      <c r="S434" t="s">
        <v>94</v>
      </c>
      <c r="T434">
        <v>2024</v>
      </c>
    </row>
    <row r="435" spans="1:20" x14ac:dyDescent="0.3">
      <c r="A435" t="s">
        <v>825</v>
      </c>
      <c r="B435" t="s">
        <v>701</v>
      </c>
      <c r="C435" t="s">
        <v>116</v>
      </c>
      <c r="D435" t="s">
        <v>69</v>
      </c>
      <c r="E435" t="s">
        <v>155</v>
      </c>
      <c r="F435" t="s">
        <v>54</v>
      </c>
      <c r="G435" t="s">
        <v>55</v>
      </c>
      <c r="H435" t="s">
        <v>91</v>
      </c>
      <c r="I435" t="s">
        <v>185</v>
      </c>
      <c r="J435">
        <v>2</v>
      </c>
      <c r="K435">
        <v>14797.27</v>
      </c>
      <c r="L435">
        <v>20</v>
      </c>
      <c r="M435">
        <v>29594.54</v>
      </c>
      <c r="N435">
        <v>22135.66</v>
      </c>
      <c r="O435">
        <v>7458.88</v>
      </c>
      <c r="P435" t="s">
        <v>41</v>
      </c>
      <c r="Q435">
        <v>3.4</v>
      </c>
      <c r="R435" t="s">
        <v>66</v>
      </c>
      <c r="S435" t="s">
        <v>87</v>
      </c>
      <c r="T435">
        <v>2025</v>
      </c>
    </row>
    <row r="436" spans="1:20" x14ac:dyDescent="0.3">
      <c r="A436" t="s">
        <v>826</v>
      </c>
      <c r="B436" t="s">
        <v>559</v>
      </c>
      <c r="C436" t="s">
        <v>90</v>
      </c>
      <c r="D436" t="s">
        <v>23</v>
      </c>
      <c r="E436" t="s">
        <v>24</v>
      </c>
      <c r="F436" t="s">
        <v>45</v>
      </c>
      <c r="G436" t="s">
        <v>46</v>
      </c>
      <c r="H436" t="s">
        <v>188</v>
      </c>
      <c r="I436" t="s">
        <v>48</v>
      </c>
      <c r="J436">
        <v>5</v>
      </c>
      <c r="K436">
        <v>16951.57</v>
      </c>
      <c r="L436">
        <v>25</v>
      </c>
      <c r="M436">
        <v>84757.85</v>
      </c>
      <c r="N436">
        <v>69124.97</v>
      </c>
      <c r="O436">
        <v>15632.88</v>
      </c>
      <c r="P436" t="s">
        <v>73</v>
      </c>
      <c r="Q436">
        <v>2</v>
      </c>
      <c r="R436" t="s">
        <v>30</v>
      </c>
      <c r="S436" t="s">
        <v>94</v>
      </c>
      <c r="T436">
        <v>2024</v>
      </c>
    </row>
    <row r="437" spans="1:20" x14ac:dyDescent="0.3">
      <c r="A437" t="s">
        <v>827</v>
      </c>
      <c r="B437" t="s">
        <v>287</v>
      </c>
      <c r="C437" t="s">
        <v>34</v>
      </c>
      <c r="D437" t="s">
        <v>23</v>
      </c>
      <c r="E437" t="s">
        <v>24</v>
      </c>
      <c r="F437" t="s">
        <v>54</v>
      </c>
      <c r="G437" t="s">
        <v>55</v>
      </c>
      <c r="H437" t="s">
        <v>117</v>
      </c>
      <c r="I437" t="s">
        <v>180</v>
      </c>
      <c r="J437">
        <v>2</v>
      </c>
      <c r="K437">
        <v>20087.650000000001</v>
      </c>
      <c r="L437">
        <v>10</v>
      </c>
      <c r="M437">
        <v>40175.300000000003</v>
      </c>
      <c r="N437">
        <v>26943.68</v>
      </c>
      <c r="O437">
        <v>13231.62</v>
      </c>
      <c r="P437" t="s">
        <v>73</v>
      </c>
      <c r="Q437">
        <v>2.7</v>
      </c>
      <c r="R437" t="s">
        <v>30</v>
      </c>
      <c r="S437" t="s">
        <v>74</v>
      </c>
      <c r="T437">
        <v>2024</v>
      </c>
    </row>
    <row r="438" spans="1:20" x14ac:dyDescent="0.3">
      <c r="A438" t="s">
        <v>828</v>
      </c>
      <c r="B438" t="s">
        <v>829</v>
      </c>
      <c r="C438" t="s">
        <v>61</v>
      </c>
      <c r="D438" t="s">
        <v>52</v>
      </c>
      <c r="E438" t="s">
        <v>110</v>
      </c>
      <c r="F438" t="s">
        <v>45</v>
      </c>
      <c r="G438" t="s">
        <v>46</v>
      </c>
      <c r="H438" t="s">
        <v>47</v>
      </c>
      <c r="I438" t="s">
        <v>169</v>
      </c>
      <c r="J438">
        <v>4</v>
      </c>
      <c r="K438">
        <v>45544.54</v>
      </c>
      <c r="L438">
        <v>20</v>
      </c>
      <c r="M438">
        <v>182178.16</v>
      </c>
      <c r="N438">
        <v>135730.66</v>
      </c>
      <c r="O438">
        <v>46447.5</v>
      </c>
      <c r="P438" t="s">
        <v>113</v>
      </c>
      <c r="Q438">
        <v>3</v>
      </c>
      <c r="R438" t="s">
        <v>30</v>
      </c>
      <c r="S438" t="s">
        <v>107</v>
      </c>
      <c r="T438">
        <v>2024</v>
      </c>
    </row>
    <row r="439" spans="1:20" x14ac:dyDescent="0.3">
      <c r="A439" t="s">
        <v>830</v>
      </c>
      <c r="B439" t="s">
        <v>337</v>
      </c>
      <c r="C439" t="s">
        <v>90</v>
      </c>
      <c r="D439" t="s">
        <v>35</v>
      </c>
      <c r="E439" t="s">
        <v>36</v>
      </c>
      <c r="F439" t="s">
        <v>45</v>
      </c>
      <c r="G439" t="s">
        <v>105</v>
      </c>
      <c r="H439" t="s">
        <v>188</v>
      </c>
      <c r="I439" t="s">
        <v>169</v>
      </c>
      <c r="J439">
        <v>1</v>
      </c>
      <c r="K439">
        <v>4986.8999999999996</v>
      </c>
      <c r="L439">
        <v>10</v>
      </c>
      <c r="M439">
        <v>4986.8999999999996</v>
      </c>
      <c r="N439">
        <v>3617.79</v>
      </c>
      <c r="O439">
        <v>1369.11</v>
      </c>
      <c r="P439" t="s">
        <v>113</v>
      </c>
      <c r="Q439">
        <v>4.4000000000000004</v>
      </c>
      <c r="R439" t="s">
        <v>30</v>
      </c>
      <c r="S439" t="s">
        <v>42</v>
      </c>
      <c r="T439">
        <v>2024</v>
      </c>
    </row>
    <row r="440" spans="1:20" x14ac:dyDescent="0.3">
      <c r="A440" t="s">
        <v>831</v>
      </c>
      <c r="B440" t="s">
        <v>273</v>
      </c>
      <c r="C440" t="s">
        <v>22</v>
      </c>
      <c r="D440" t="s">
        <v>35</v>
      </c>
      <c r="E440" t="s">
        <v>36</v>
      </c>
      <c r="F440" t="s">
        <v>62</v>
      </c>
      <c r="G440" t="s">
        <v>63</v>
      </c>
      <c r="H440" t="s">
        <v>152</v>
      </c>
      <c r="I440" t="s">
        <v>143</v>
      </c>
      <c r="J440">
        <v>1</v>
      </c>
      <c r="K440">
        <v>37890.559999999998</v>
      </c>
      <c r="L440">
        <v>20</v>
      </c>
      <c r="M440">
        <v>37890.559999999998</v>
      </c>
      <c r="N440">
        <v>28637.200000000001</v>
      </c>
      <c r="O440">
        <v>9253.36</v>
      </c>
      <c r="P440" t="s">
        <v>113</v>
      </c>
      <c r="Q440">
        <v>2.4</v>
      </c>
      <c r="R440" t="s">
        <v>30</v>
      </c>
      <c r="S440" t="s">
        <v>119</v>
      </c>
      <c r="T440">
        <v>2024</v>
      </c>
    </row>
    <row r="441" spans="1:20" x14ac:dyDescent="0.3">
      <c r="A441" t="s">
        <v>832</v>
      </c>
      <c r="B441" t="s">
        <v>689</v>
      </c>
      <c r="C441" t="s">
        <v>200</v>
      </c>
      <c r="D441" t="s">
        <v>81</v>
      </c>
      <c r="E441" t="s">
        <v>82</v>
      </c>
      <c r="F441" t="s">
        <v>54</v>
      </c>
      <c r="G441" t="s">
        <v>55</v>
      </c>
      <c r="H441" t="s">
        <v>92</v>
      </c>
      <c r="I441" t="s">
        <v>57</v>
      </c>
      <c r="J441">
        <v>2</v>
      </c>
      <c r="K441">
        <v>26947.54</v>
      </c>
      <c r="L441">
        <v>25</v>
      </c>
      <c r="M441">
        <v>53895.08</v>
      </c>
      <c r="N441">
        <v>43964.49</v>
      </c>
      <c r="O441">
        <v>9930.59</v>
      </c>
      <c r="P441" t="s">
        <v>144</v>
      </c>
      <c r="Q441">
        <v>4.0999999999999996</v>
      </c>
      <c r="R441" t="s">
        <v>30</v>
      </c>
      <c r="S441" t="s">
        <v>119</v>
      </c>
      <c r="T441">
        <v>2024</v>
      </c>
    </row>
    <row r="442" spans="1:20" x14ac:dyDescent="0.3">
      <c r="A442" t="s">
        <v>833</v>
      </c>
      <c r="B442" t="s">
        <v>834</v>
      </c>
      <c r="C442" t="s">
        <v>34</v>
      </c>
      <c r="D442" t="s">
        <v>35</v>
      </c>
      <c r="E442" t="s">
        <v>36</v>
      </c>
      <c r="F442" t="s">
        <v>54</v>
      </c>
      <c r="G442" t="s">
        <v>228</v>
      </c>
      <c r="H442" t="s">
        <v>91</v>
      </c>
      <c r="I442" t="s">
        <v>118</v>
      </c>
      <c r="J442">
        <v>3</v>
      </c>
      <c r="K442">
        <v>16929.740000000002</v>
      </c>
      <c r="L442">
        <v>15</v>
      </c>
      <c r="M442">
        <v>50789.22</v>
      </c>
      <c r="N442">
        <v>39865.14</v>
      </c>
      <c r="O442">
        <v>10924.08</v>
      </c>
      <c r="P442" t="s">
        <v>73</v>
      </c>
      <c r="Q442">
        <v>1.5</v>
      </c>
      <c r="R442" t="s">
        <v>30</v>
      </c>
      <c r="S442" t="s">
        <v>94</v>
      </c>
      <c r="T442">
        <v>2024</v>
      </c>
    </row>
    <row r="443" spans="1:20" x14ac:dyDescent="0.3">
      <c r="A443" t="s">
        <v>835</v>
      </c>
      <c r="B443" t="s">
        <v>372</v>
      </c>
      <c r="C443" t="s">
        <v>80</v>
      </c>
      <c r="D443" t="s">
        <v>35</v>
      </c>
      <c r="E443" t="s">
        <v>36</v>
      </c>
      <c r="F443" t="s">
        <v>54</v>
      </c>
      <c r="G443" t="s">
        <v>55</v>
      </c>
      <c r="H443" t="s">
        <v>117</v>
      </c>
      <c r="I443" t="s">
        <v>296</v>
      </c>
      <c r="J443">
        <v>3</v>
      </c>
      <c r="K443">
        <v>30310.92</v>
      </c>
      <c r="L443">
        <v>20</v>
      </c>
      <c r="M443">
        <v>90932.76</v>
      </c>
      <c r="N443">
        <v>71156.34</v>
      </c>
      <c r="O443">
        <v>19776.419999999998</v>
      </c>
      <c r="P443" t="s">
        <v>41</v>
      </c>
      <c r="Q443">
        <v>3.5</v>
      </c>
      <c r="R443" t="s">
        <v>30</v>
      </c>
      <c r="S443" t="s">
        <v>107</v>
      </c>
      <c r="T443">
        <v>2024</v>
      </c>
    </row>
    <row r="444" spans="1:20" x14ac:dyDescent="0.3">
      <c r="A444" t="s">
        <v>836</v>
      </c>
      <c r="B444" t="s">
        <v>549</v>
      </c>
      <c r="C444" t="s">
        <v>116</v>
      </c>
      <c r="D444" t="s">
        <v>132</v>
      </c>
      <c r="E444" t="s">
        <v>158</v>
      </c>
      <c r="F444" t="s">
        <v>25</v>
      </c>
      <c r="G444" t="s">
        <v>111</v>
      </c>
      <c r="H444" t="s">
        <v>27</v>
      </c>
      <c r="I444" t="s">
        <v>112</v>
      </c>
      <c r="J444">
        <v>5</v>
      </c>
      <c r="K444">
        <v>33643.5</v>
      </c>
      <c r="L444">
        <v>5</v>
      </c>
      <c r="M444">
        <v>168217.5</v>
      </c>
      <c r="N444">
        <v>136887.04999999999</v>
      </c>
      <c r="O444">
        <v>31330.45</v>
      </c>
      <c r="P444" t="s">
        <v>41</v>
      </c>
      <c r="Q444">
        <v>4.2</v>
      </c>
      <c r="R444" t="s">
        <v>30</v>
      </c>
      <c r="S444" t="s">
        <v>119</v>
      </c>
      <c r="T444">
        <v>2024</v>
      </c>
    </row>
    <row r="445" spans="1:20" x14ac:dyDescent="0.3">
      <c r="A445" t="s">
        <v>837</v>
      </c>
      <c r="B445" t="s">
        <v>838</v>
      </c>
      <c r="C445" t="s">
        <v>34</v>
      </c>
      <c r="D445" t="s">
        <v>23</v>
      </c>
      <c r="E445" t="s">
        <v>24</v>
      </c>
      <c r="F445" t="s">
        <v>25</v>
      </c>
      <c r="G445" t="s">
        <v>111</v>
      </c>
      <c r="H445" t="s">
        <v>129</v>
      </c>
      <c r="I445" t="s">
        <v>28</v>
      </c>
      <c r="J445">
        <v>3</v>
      </c>
      <c r="K445">
        <v>27847.81</v>
      </c>
      <c r="L445">
        <v>30</v>
      </c>
      <c r="M445">
        <v>83543.429999999993</v>
      </c>
      <c r="N445">
        <v>69211.12</v>
      </c>
      <c r="O445">
        <v>14332.31</v>
      </c>
      <c r="P445" t="s">
        <v>144</v>
      </c>
      <c r="Q445">
        <v>4.3</v>
      </c>
      <c r="R445" t="s">
        <v>66</v>
      </c>
      <c r="S445" t="s">
        <v>31</v>
      </c>
      <c r="T445">
        <v>2024</v>
      </c>
    </row>
    <row r="446" spans="1:20" x14ac:dyDescent="0.3">
      <c r="A446" t="s">
        <v>839</v>
      </c>
      <c r="B446" t="s">
        <v>267</v>
      </c>
      <c r="C446" t="s">
        <v>90</v>
      </c>
      <c r="D446" t="s">
        <v>69</v>
      </c>
      <c r="E446" t="s">
        <v>155</v>
      </c>
      <c r="F446" t="s">
        <v>25</v>
      </c>
      <c r="G446" t="s">
        <v>111</v>
      </c>
      <c r="H446" t="s">
        <v>27</v>
      </c>
      <c r="I446" t="s">
        <v>28</v>
      </c>
      <c r="J446">
        <v>3</v>
      </c>
      <c r="K446">
        <v>19055.03</v>
      </c>
      <c r="L446">
        <v>30</v>
      </c>
      <c r="M446">
        <v>57165.09</v>
      </c>
      <c r="N446">
        <v>44783.199999999997</v>
      </c>
      <c r="O446">
        <v>12381.89</v>
      </c>
      <c r="P446" t="s">
        <v>122</v>
      </c>
      <c r="Q446">
        <v>4.3</v>
      </c>
      <c r="R446" t="s">
        <v>30</v>
      </c>
      <c r="S446" t="s">
        <v>162</v>
      </c>
      <c r="T446">
        <v>2024</v>
      </c>
    </row>
    <row r="447" spans="1:20" x14ac:dyDescent="0.3">
      <c r="A447" t="s">
        <v>840</v>
      </c>
      <c r="B447" t="s">
        <v>733</v>
      </c>
      <c r="C447" t="s">
        <v>168</v>
      </c>
      <c r="D447" t="s">
        <v>23</v>
      </c>
      <c r="E447" t="s">
        <v>24</v>
      </c>
      <c r="F447" t="s">
        <v>25</v>
      </c>
      <c r="G447" t="s">
        <v>111</v>
      </c>
      <c r="H447" t="s">
        <v>235</v>
      </c>
      <c r="I447" t="s">
        <v>112</v>
      </c>
      <c r="J447">
        <v>1</v>
      </c>
      <c r="K447">
        <v>24012.7</v>
      </c>
      <c r="L447">
        <v>25</v>
      </c>
      <c r="M447">
        <v>24012.7</v>
      </c>
      <c r="N447">
        <v>16766.48</v>
      </c>
      <c r="O447">
        <v>7246.22</v>
      </c>
      <c r="P447" t="s">
        <v>122</v>
      </c>
      <c r="Q447">
        <v>4.8</v>
      </c>
      <c r="R447" t="s">
        <v>30</v>
      </c>
      <c r="S447" t="s">
        <v>58</v>
      </c>
      <c r="T447">
        <v>2024</v>
      </c>
    </row>
    <row r="448" spans="1:20" x14ac:dyDescent="0.3">
      <c r="A448" t="s">
        <v>841</v>
      </c>
      <c r="B448" t="s">
        <v>333</v>
      </c>
      <c r="C448" t="s">
        <v>34</v>
      </c>
      <c r="D448" t="s">
        <v>81</v>
      </c>
      <c r="E448" t="s">
        <v>82</v>
      </c>
      <c r="F448" t="s">
        <v>37</v>
      </c>
      <c r="G448" t="s">
        <v>38</v>
      </c>
      <c r="H448" t="s">
        <v>77</v>
      </c>
      <c r="I448" t="s">
        <v>40</v>
      </c>
      <c r="J448">
        <v>2</v>
      </c>
      <c r="K448">
        <v>8182.19</v>
      </c>
      <c r="L448">
        <v>30</v>
      </c>
      <c r="M448">
        <v>16364.38</v>
      </c>
      <c r="N448">
        <v>11628.16</v>
      </c>
      <c r="O448">
        <v>4736.22</v>
      </c>
      <c r="P448" t="s">
        <v>113</v>
      </c>
      <c r="Q448">
        <v>4.2</v>
      </c>
      <c r="R448" t="s">
        <v>159</v>
      </c>
      <c r="S448" t="s">
        <v>162</v>
      </c>
      <c r="T448">
        <v>2024</v>
      </c>
    </row>
    <row r="449" spans="1:20" x14ac:dyDescent="0.3">
      <c r="A449" t="s">
        <v>842</v>
      </c>
      <c r="B449" t="s">
        <v>517</v>
      </c>
      <c r="C449" t="s">
        <v>34</v>
      </c>
      <c r="D449" t="s">
        <v>98</v>
      </c>
      <c r="E449" t="s">
        <v>99</v>
      </c>
      <c r="F449" t="s">
        <v>45</v>
      </c>
      <c r="G449" t="s">
        <v>46</v>
      </c>
      <c r="H449" t="s">
        <v>176</v>
      </c>
      <c r="I449" t="s">
        <v>169</v>
      </c>
      <c r="J449">
        <v>4</v>
      </c>
      <c r="K449">
        <v>35810.629999999997</v>
      </c>
      <c r="L449">
        <v>25</v>
      </c>
      <c r="M449">
        <v>143242.51999999999</v>
      </c>
      <c r="N449">
        <v>108660.99</v>
      </c>
      <c r="O449">
        <v>34581.53</v>
      </c>
      <c r="P449" t="s">
        <v>41</v>
      </c>
      <c r="Q449">
        <v>1.2</v>
      </c>
      <c r="R449" t="s">
        <v>30</v>
      </c>
      <c r="S449" t="s">
        <v>107</v>
      </c>
      <c r="T449">
        <v>2024</v>
      </c>
    </row>
    <row r="450" spans="1:20" x14ac:dyDescent="0.3">
      <c r="A450" t="s">
        <v>843</v>
      </c>
      <c r="B450" t="s">
        <v>545</v>
      </c>
      <c r="C450" t="s">
        <v>136</v>
      </c>
      <c r="D450" t="s">
        <v>69</v>
      </c>
      <c r="E450" t="s">
        <v>155</v>
      </c>
      <c r="F450" t="s">
        <v>37</v>
      </c>
      <c r="G450" t="s">
        <v>38</v>
      </c>
      <c r="H450" t="s">
        <v>140</v>
      </c>
      <c r="I450" t="s">
        <v>40</v>
      </c>
      <c r="J450">
        <v>1</v>
      </c>
      <c r="K450">
        <v>23433.86</v>
      </c>
      <c r="L450">
        <v>15</v>
      </c>
      <c r="M450">
        <v>23433.86</v>
      </c>
      <c r="N450">
        <v>15766.79</v>
      </c>
      <c r="O450">
        <v>7667.07</v>
      </c>
      <c r="P450" t="s">
        <v>113</v>
      </c>
      <c r="Q450">
        <v>3.8</v>
      </c>
      <c r="R450" t="s">
        <v>30</v>
      </c>
      <c r="S450" t="s">
        <v>162</v>
      </c>
      <c r="T450">
        <v>2024</v>
      </c>
    </row>
    <row r="451" spans="1:20" x14ac:dyDescent="0.3">
      <c r="A451" t="s">
        <v>844</v>
      </c>
      <c r="B451" t="s">
        <v>455</v>
      </c>
      <c r="C451" t="s">
        <v>97</v>
      </c>
      <c r="D451" t="s">
        <v>125</v>
      </c>
      <c r="E451" t="s">
        <v>139</v>
      </c>
      <c r="F451" t="s">
        <v>54</v>
      </c>
      <c r="G451" t="s">
        <v>55</v>
      </c>
      <c r="H451" t="s">
        <v>92</v>
      </c>
      <c r="I451" t="s">
        <v>180</v>
      </c>
      <c r="J451">
        <v>4</v>
      </c>
      <c r="K451">
        <v>42946.11</v>
      </c>
      <c r="L451">
        <v>30</v>
      </c>
      <c r="M451">
        <v>171784.44</v>
      </c>
      <c r="N451">
        <v>134734.68</v>
      </c>
      <c r="O451">
        <v>37049.760000000002</v>
      </c>
      <c r="P451" t="s">
        <v>41</v>
      </c>
      <c r="Q451">
        <v>3.2</v>
      </c>
      <c r="R451" t="s">
        <v>30</v>
      </c>
      <c r="S451" t="s">
        <v>162</v>
      </c>
      <c r="T451">
        <v>2024</v>
      </c>
    </row>
    <row r="452" spans="1:20" x14ac:dyDescent="0.3">
      <c r="A452" t="s">
        <v>845</v>
      </c>
      <c r="B452" t="s">
        <v>725</v>
      </c>
      <c r="C452" t="s">
        <v>136</v>
      </c>
      <c r="D452" t="s">
        <v>125</v>
      </c>
      <c r="E452" t="s">
        <v>139</v>
      </c>
      <c r="F452" t="s">
        <v>37</v>
      </c>
      <c r="G452" t="s">
        <v>38</v>
      </c>
      <c r="H452" t="s">
        <v>77</v>
      </c>
      <c r="I452" t="s">
        <v>40</v>
      </c>
      <c r="J452">
        <v>4</v>
      </c>
      <c r="K452">
        <v>3995.44</v>
      </c>
      <c r="L452">
        <v>20</v>
      </c>
      <c r="M452">
        <v>15981.76</v>
      </c>
      <c r="N452">
        <v>13445.19</v>
      </c>
      <c r="O452">
        <v>2536.5700000000002</v>
      </c>
      <c r="P452" t="s">
        <v>29</v>
      </c>
      <c r="Q452">
        <v>4</v>
      </c>
      <c r="R452" t="s">
        <v>30</v>
      </c>
      <c r="S452" t="s">
        <v>49</v>
      </c>
      <c r="T452">
        <v>2024</v>
      </c>
    </row>
    <row r="453" spans="1:20" x14ac:dyDescent="0.3">
      <c r="A453" t="s">
        <v>846</v>
      </c>
      <c r="B453" t="s">
        <v>497</v>
      </c>
      <c r="C453" t="s">
        <v>34</v>
      </c>
      <c r="D453" t="s">
        <v>132</v>
      </c>
      <c r="E453" t="s">
        <v>158</v>
      </c>
      <c r="F453" t="s">
        <v>45</v>
      </c>
      <c r="G453" t="s">
        <v>46</v>
      </c>
      <c r="H453" t="s">
        <v>47</v>
      </c>
      <c r="I453" t="s">
        <v>48</v>
      </c>
      <c r="J453">
        <v>1</v>
      </c>
      <c r="K453">
        <v>38728.75</v>
      </c>
      <c r="L453">
        <v>15</v>
      </c>
      <c r="M453">
        <v>38728.75</v>
      </c>
      <c r="N453">
        <v>26137.17</v>
      </c>
      <c r="O453">
        <v>12591.58</v>
      </c>
      <c r="P453" t="s">
        <v>73</v>
      </c>
      <c r="Q453">
        <v>4</v>
      </c>
      <c r="R453" t="s">
        <v>30</v>
      </c>
      <c r="S453" t="s">
        <v>74</v>
      </c>
      <c r="T453">
        <v>2024</v>
      </c>
    </row>
    <row r="454" spans="1:20" x14ac:dyDescent="0.3">
      <c r="A454" t="s">
        <v>847</v>
      </c>
      <c r="B454" t="s">
        <v>263</v>
      </c>
      <c r="C454" t="s">
        <v>168</v>
      </c>
      <c r="D454" t="s">
        <v>69</v>
      </c>
      <c r="E454" t="s">
        <v>70</v>
      </c>
      <c r="F454" t="s">
        <v>37</v>
      </c>
      <c r="G454" t="s">
        <v>38</v>
      </c>
      <c r="H454" t="s">
        <v>86</v>
      </c>
      <c r="I454" t="s">
        <v>40</v>
      </c>
      <c r="J454">
        <v>3</v>
      </c>
      <c r="K454">
        <v>46205.47</v>
      </c>
      <c r="L454">
        <v>20</v>
      </c>
      <c r="M454">
        <v>138616.41</v>
      </c>
      <c r="N454">
        <v>109455.88</v>
      </c>
      <c r="O454">
        <v>29160.53</v>
      </c>
      <c r="P454" t="s">
        <v>122</v>
      </c>
      <c r="Q454">
        <v>2.7</v>
      </c>
      <c r="R454" t="s">
        <v>30</v>
      </c>
      <c r="S454" t="s">
        <v>31</v>
      </c>
      <c r="T454">
        <v>2024</v>
      </c>
    </row>
    <row r="455" spans="1:20" x14ac:dyDescent="0.3">
      <c r="A455" t="s">
        <v>848</v>
      </c>
      <c r="B455" t="s">
        <v>346</v>
      </c>
      <c r="C455" t="s">
        <v>200</v>
      </c>
      <c r="D455" t="s">
        <v>132</v>
      </c>
      <c r="E455" t="s">
        <v>133</v>
      </c>
      <c r="F455" t="s">
        <v>37</v>
      </c>
      <c r="G455" t="s">
        <v>38</v>
      </c>
      <c r="H455" t="s">
        <v>39</v>
      </c>
      <c r="I455" t="s">
        <v>40</v>
      </c>
      <c r="J455">
        <v>3</v>
      </c>
      <c r="K455">
        <v>7631.48</v>
      </c>
      <c r="L455">
        <v>10</v>
      </c>
      <c r="M455">
        <v>22894.44</v>
      </c>
      <c r="N455">
        <v>17422.91</v>
      </c>
      <c r="O455">
        <v>5471.53</v>
      </c>
      <c r="P455" t="s">
        <v>29</v>
      </c>
      <c r="Q455">
        <v>3</v>
      </c>
      <c r="R455" t="s">
        <v>30</v>
      </c>
      <c r="S455" t="s">
        <v>78</v>
      </c>
      <c r="T455">
        <v>2024</v>
      </c>
    </row>
    <row r="456" spans="1:20" x14ac:dyDescent="0.3">
      <c r="A456" t="s">
        <v>849</v>
      </c>
      <c r="B456" t="s">
        <v>850</v>
      </c>
      <c r="C456" t="s">
        <v>90</v>
      </c>
      <c r="D456" t="s">
        <v>125</v>
      </c>
      <c r="E456" t="s">
        <v>126</v>
      </c>
      <c r="F456" t="s">
        <v>25</v>
      </c>
      <c r="G456" t="s">
        <v>26</v>
      </c>
      <c r="H456" t="s">
        <v>121</v>
      </c>
      <c r="I456" t="s">
        <v>112</v>
      </c>
      <c r="J456">
        <v>4</v>
      </c>
      <c r="K456">
        <v>4581.7299999999996</v>
      </c>
      <c r="L456">
        <v>15</v>
      </c>
      <c r="M456">
        <v>18326.919999999998</v>
      </c>
      <c r="N456">
        <v>15420.03</v>
      </c>
      <c r="O456">
        <v>2906.89</v>
      </c>
      <c r="P456" t="s">
        <v>122</v>
      </c>
      <c r="Q456">
        <v>3.4</v>
      </c>
      <c r="R456" t="s">
        <v>30</v>
      </c>
      <c r="S456" t="s">
        <v>49</v>
      </c>
      <c r="T456">
        <v>2024</v>
      </c>
    </row>
    <row r="457" spans="1:20" x14ac:dyDescent="0.3">
      <c r="A457" t="s">
        <v>851</v>
      </c>
      <c r="B457" t="s">
        <v>683</v>
      </c>
      <c r="C457" t="s">
        <v>97</v>
      </c>
      <c r="D457" t="s">
        <v>81</v>
      </c>
      <c r="E457" t="s">
        <v>149</v>
      </c>
      <c r="F457" t="s">
        <v>54</v>
      </c>
      <c r="G457" t="s">
        <v>201</v>
      </c>
      <c r="H457" t="s">
        <v>92</v>
      </c>
      <c r="I457" t="s">
        <v>93</v>
      </c>
      <c r="J457">
        <v>3</v>
      </c>
      <c r="K457">
        <v>9761.64</v>
      </c>
      <c r="L457">
        <v>15</v>
      </c>
      <c r="M457">
        <v>29284.92</v>
      </c>
      <c r="N457">
        <v>20143.72</v>
      </c>
      <c r="O457">
        <v>9141.2000000000007</v>
      </c>
      <c r="P457" t="s">
        <v>73</v>
      </c>
      <c r="Q457">
        <v>2.5</v>
      </c>
      <c r="R457" t="s">
        <v>30</v>
      </c>
      <c r="S457" t="s">
        <v>162</v>
      </c>
      <c r="T457">
        <v>2024</v>
      </c>
    </row>
    <row r="458" spans="1:20" x14ac:dyDescent="0.3">
      <c r="A458" t="s">
        <v>852</v>
      </c>
      <c r="B458" t="s">
        <v>218</v>
      </c>
      <c r="C458" t="s">
        <v>168</v>
      </c>
      <c r="D458" t="s">
        <v>35</v>
      </c>
      <c r="E458" t="s">
        <v>36</v>
      </c>
      <c r="F458" t="s">
        <v>45</v>
      </c>
      <c r="G458" t="s">
        <v>105</v>
      </c>
      <c r="H458" t="s">
        <v>176</v>
      </c>
      <c r="I458" t="s">
        <v>169</v>
      </c>
      <c r="J458">
        <v>3</v>
      </c>
      <c r="K458">
        <v>1582.84</v>
      </c>
      <c r="L458">
        <v>15</v>
      </c>
      <c r="M458">
        <v>4748.5200000000004</v>
      </c>
      <c r="N458">
        <v>3722.31</v>
      </c>
      <c r="O458">
        <v>1026.21</v>
      </c>
      <c r="P458" t="s">
        <v>29</v>
      </c>
      <c r="Q458">
        <v>2.9</v>
      </c>
      <c r="R458" t="s">
        <v>30</v>
      </c>
      <c r="S458" t="s">
        <v>31</v>
      </c>
      <c r="T458">
        <v>2024</v>
      </c>
    </row>
    <row r="459" spans="1:20" x14ac:dyDescent="0.3">
      <c r="A459" t="s">
        <v>853</v>
      </c>
      <c r="B459" t="s">
        <v>675</v>
      </c>
      <c r="C459" t="s">
        <v>80</v>
      </c>
      <c r="D459" t="s">
        <v>125</v>
      </c>
      <c r="E459" t="s">
        <v>139</v>
      </c>
      <c r="F459" t="s">
        <v>54</v>
      </c>
      <c r="G459" t="s">
        <v>55</v>
      </c>
      <c r="H459" t="s">
        <v>179</v>
      </c>
      <c r="I459" t="s">
        <v>93</v>
      </c>
      <c r="J459">
        <v>5</v>
      </c>
      <c r="K459">
        <v>8902.26</v>
      </c>
      <c r="L459">
        <v>30</v>
      </c>
      <c r="M459">
        <v>44511.3</v>
      </c>
      <c r="N459">
        <v>29566.68</v>
      </c>
      <c r="O459">
        <v>14944.62</v>
      </c>
      <c r="P459" t="s">
        <v>29</v>
      </c>
      <c r="Q459">
        <v>2.4</v>
      </c>
      <c r="R459" t="s">
        <v>30</v>
      </c>
      <c r="S459" t="s">
        <v>87</v>
      </c>
      <c r="T459">
        <v>2025</v>
      </c>
    </row>
    <row r="460" spans="1:20" x14ac:dyDescent="0.3">
      <c r="A460" t="s">
        <v>854</v>
      </c>
      <c r="B460" t="s">
        <v>855</v>
      </c>
      <c r="C460" t="s">
        <v>90</v>
      </c>
      <c r="D460" t="s">
        <v>81</v>
      </c>
      <c r="E460" t="s">
        <v>149</v>
      </c>
      <c r="F460" t="s">
        <v>62</v>
      </c>
      <c r="G460" t="s">
        <v>63</v>
      </c>
      <c r="H460" t="s">
        <v>271</v>
      </c>
      <c r="I460" t="s">
        <v>65</v>
      </c>
      <c r="J460">
        <v>1</v>
      </c>
      <c r="K460">
        <v>1549.63</v>
      </c>
      <c r="L460">
        <v>25</v>
      </c>
      <c r="M460">
        <v>1549.63</v>
      </c>
      <c r="N460">
        <v>1226.57</v>
      </c>
      <c r="O460">
        <v>323.06</v>
      </c>
      <c r="P460" t="s">
        <v>113</v>
      </c>
      <c r="Q460">
        <v>3</v>
      </c>
      <c r="R460" t="s">
        <v>30</v>
      </c>
      <c r="S460" t="s">
        <v>58</v>
      </c>
      <c r="T460">
        <v>2024</v>
      </c>
    </row>
    <row r="461" spans="1:20" x14ac:dyDescent="0.3">
      <c r="A461" t="s">
        <v>856</v>
      </c>
      <c r="B461" t="s">
        <v>857</v>
      </c>
      <c r="C461" t="s">
        <v>200</v>
      </c>
      <c r="D461" t="s">
        <v>132</v>
      </c>
      <c r="E461" t="s">
        <v>133</v>
      </c>
      <c r="F461" t="s">
        <v>25</v>
      </c>
      <c r="G461" t="s">
        <v>111</v>
      </c>
      <c r="H461" t="s">
        <v>27</v>
      </c>
      <c r="I461" t="s">
        <v>112</v>
      </c>
      <c r="J461">
        <v>5</v>
      </c>
      <c r="K461">
        <v>23520.5</v>
      </c>
      <c r="L461">
        <v>10</v>
      </c>
      <c r="M461">
        <v>117602.5</v>
      </c>
      <c r="N461">
        <v>86230.79</v>
      </c>
      <c r="O461">
        <v>31371.71</v>
      </c>
      <c r="P461" t="s">
        <v>29</v>
      </c>
      <c r="Q461">
        <v>1.2</v>
      </c>
      <c r="R461" t="s">
        <v>30</v>
      </c>
      <c r="S461" t="s">
        <v>107</v>
      </c>
      <c r="T461">
        <v>2024</v>
      </c>
    </row>
    <row r="462" spans="1:20" x14ac:dyDescent="0.3">
      <c r="A462" t="s">
        <v>858</v>
      </c>
      <c r="B462" t="s">
        <v>677</v>
      </c>
      <c r="C462" t="s">
        <v>80</v>
      </c>
      <c r="D462" t="s">
        <v>132</v>
      </c>
      <c r="E462" t="s">
        <v>133</v>
      </c>
      <c r="F462" t="s">
        <v>45</v>
      </c>
      <c r="G462" t="s">
        <v>46</v>
      </c>
      <c r="H462" t="s">
        <v>47</v>
      </c>
      <c r="I462" t="s">
        <v>169</v>
      </c>
      <c r="J462">
        <v>1</v>
      </c>
      <c r="K462">
        <v>18729.61</v>
      </c>
      <c r="L462">
        <v>30</v>
      </c>
      <c r="M462">
        <v>18729.61</v>
      </c>
      <c r="N462">
        <v>15861.35</v>
      </c>
      <c r="O462">
        <v>2868.26</v>
      </c>
      <c r="P462" t="s">
        <v>113</v>
      </c>
      <c r="Q462">
        <v>1</v>
      </c>
      <c r="R462" t="s">
        <v>30</v>
      </c>
      <c r="S462" t="s">
        <v>107</v>
      </c>
      <c r="T462">
        <v>2024</v>
      </c>
    </row>
    <row r="463" spans="1:20" x14ac:dyDescent="0.3">
      <c r="A463" t="s">
        <v>859</v>
      </c>
      <c r="B463" t="s">
        <v>860</v>
      </c>
      <c r="C463" t="s">
        <v>80</v>
      </c>
      <c r="D463" t="s">
        <v>23</v>
      </c>
      <c r="E463" t="s">
        <v>24</v>
      </c>
      <c r="F463" t="s">
        <v>25</v>
      </c>
      <c r="G463" t="s">
        <v>26</v>
      </c>
      <c r="H463" t="s">
        <v>235</v>
      </c>
      <c r="I463" t="s">
        <v>112</v>
      </c>
      <c r="J463">
        <v>3</v>
      </c>
      <c r="K463">
        <v>18085.73</v>
      </c>
      <c r="L463">
        <v>25</v>
      </c>
      <c r="M463">
        <v>54257.19</v>
      </c>
      <c r="N463">
        <v>40998.21</v>
      </c>
      <c r="O463">
        <v>13258.98</v>
      </c>
      <c r="P463" t="s">
        <v>144</v>
      </c>
      <c r="Q463">
        <v>4.0999999999999996</v>
      </c>
      <c r="R463" t="s">
        <v>30</v>
      </c>
      <c r="S463" t="s">
        <v>78</v>
      </c>
      <c r="T463">
        <v>2024</v>
      </c>
    </row>
    <row r="464" spans="1:20" x14ac:dyDescent="0.3">
      <c r="A464" t="s">
        <v>861</v>
      </c>
      <c r="B464" t="s">
        <v>293</v>
      </c>
      <c r="C464" t="s">
        <v>200</v>
      </c>
      <c r="D464" t="s">
        <v>52</v>
      </c>
      <c r="E464" t="s">
        <v>110</v>
      </c>
      <c r="F464" t="s">
        <v>45</v>
      </c>
      <c r="G464" t="s">
        <v>46</v>
      </c>
      <c r="H464" t="s">
        <v>106</v>
      </c>
      <c r="I464" t="s">
        <v>48</v>
      </c>
      <c r="J464">
        <v>3</v>
      </c>
      <c r="K464">
        <v>29844.59</v>
      </c>
      <c r="L464">
        <v>30</v>
      </c>
      <c r="M464">
        <v>89533.77</v>
      </c>
      <c r="N464">
        <v>60353.96</v>
      </c>
      <c r="O464">
        <v>29179.81</v>
      </c>
      <c r="P464" t="s">
        <v>122</v>
      </c>
      <c r="Q464">
        <v>3.9</v>
      </c>
      <c r="R464" t="s">
        <v>30</v>
      </c>
      <c r="S464" t="s">
        <v>119</v>
      </c>
      <c r="T464">
        <v>2024</v>
      </c>
    </row>
    <row r="465" spans="1:20" x14ac:dyDescent="0.3">
      <c r="A465" t="s">
        <v>862</v>
      </c>
      <c r="B465" t="s">
        <v>300</v>
      </c>
      <c r="C465" t="s">
        <v>34</v>
      </c>
      <c r="D465" t="s">
        <v>81</v>
      </c>
      <c r="E465" t="s">
        <v>128</v>
      </c>
      <c r="F465" t="s">
        <v>54</v>
      </c>
      <c r="G465" t="s">
        <v>55</v>
      </c>
      <c r="H465" t="s">
        <v>92</v>
      </c>
      <c r="I465" t="s">
        <v>93</v>
      </c>
      <c r="J465">
        <v>2</v>
      </c>
      <c r="K465">
        <v>12964.52</v>
      </c>
      <c r="L465">
        <v>15</v>
      </c>
      <c r="M465">
        <v>25929.040000000001</v>
      </c>
      <c r="N465">
        <v>19505.55</v>
      </c>
      <c r="O465">
        <v>6423.49</v>
      </c>
      <c r="P465" t="s">
        <v>73</v>
      </c>
      <c r="Q465">
        <v>2.7</v>
      </c>
      <c r="R465" t="s">
        <v>30</v>
      </c>
      <c r="S465" t="s">
        <v>58</v>
      </c>
      <c r="T465">
        <v>2024</v>
      </c>
    </row>
    <row r="466" spans="1:20" x14ac:dyDescent="0.3">
      <c r="A466" t="s">
        <v>863</v>
      </c>
      <c r="B466" t="s">
        <v>864</v>
      </c>
      <c r="C466" t="s">
        <v>34</v>
      </c>
      <c r="D466" t="s">
        <v>81</v>
      </c>
      <c r="E466" t="s">
        <v>149</v>
      </c>
      <c r="F466" t="s">
        <v>54</v>
      </c>
      <c r="G466" t="s">
        <v>201</v>
      </c>
      <c r="H466" t="s">
        <v>92</v>
      </c>
      <c r="I466" t="s">
        <v>296</v>
      </c>
      <c r="J466">
        <v>5</v>
      </c>
      <c r="K466">
        <v>43431.64</v>
      </c>
      <c r="L466">
        <v>25</v>
      </c>
      <c r="M466">
        <v>217158.2</v>
      </c>
      <c r="N466">
        <v>169391.61</v>
      </c>
      <c r="O466">
        <v>47766.59</v>
      </c>
      <c r="P466" t="s">
        <v>122</v>
      </c>
      <c r="Q466">
        <v>4.4000000000000004</v>
      </c>
      <c r="R466" t="s">
        <v>30</v>
      </c>
      <c r="S466" t="s">
        <v>119</v>
      </c>
      <c r="T466">
        <v>2024</v>
      </c>
    </row>
    <row r="467" spans="1:20" x14ac:dyDescent="0.3">
      <c r="A467" t="s">
        <v>865</v>
      </c>
      <c r="B467" t="s">
        <v>440</v>
      </c>
      <c r="C467" t="s">
        <v>200</v>
      </c>
      <c r="D467" t="s">
        <v>125</v>
      </c>
      <c r="E467" t="s">
        <v>126</v>
      </c>
      <c r="F467" t="s">
        <v>54</v>
      </c>
      <c r="G467" t="s">
        <v>228</v>
      </c>
      <c r="H467" t="s">
        <v>56</v>
      </c>
      <c r="I467" t="s">
        <v>185</v>
      </c>
      <c r="J467">
        <v>4</v>
      </c>
      <c r="K467">
        <v>31005.06</v>
      </c>
      <c r="L467">
        <v>20</v>
      </c>
      <c r="M467">
        <v>124020.24</v>
      </c>
      <c r="N467">
        <v>87791.47</v>
      </c>
      <c r="O467">
        <v>36228.769999999997</v>
      </c>
      <c r="P467" t="s">
        <v>144</v>
      </c>
      <c r="Q467">
        <v>4</v>
      </c>
      <c r="R467" t="s">
        <v>30</v>
      </c>
      <c r="S467" t="s">
        <v>78</v>
      </c>
      <c r="T467">
        <v>2024</v>
      </c>
    </row>
    <row r="468" spans="1:20" x14ac:dyDescent="0.3">
      <c r="A468" t="s">
        <v>866</v>
      </c>
      <c r="B468" t="s">
        <v>409</v>
      </c>
      <c r="C468" t="s">
        <v>61</v>
      </c>
      <c r="D468" t="s">
        <v>52</v>
      </c>
      <c r="E468" t="s">
        <v>110</v>
      </c>
      <c r="F468" t="s">
        <v>45</v>
      </c>
      <c r="G468" t="s">
        <v>46</v>
      </c>
      <c r="H468" t="s">
        <v>47</v>
      </c>
      <c r="I468" t="s">
        <v>169</v>
      </c>
      <c r="J468">
        <v>3</v>
      </c>
      <c r="K468">
        <v>16010.24</v>
      </c>
      <c r="L468">
        <v>15</v>
      </c>
      <c r="M468">
        <v>48030.720000000001</v>
      </c>
      <c r="N468">
        <v>31290.52</v>
      </c>
      <c r="O468">
        <v>16740.2</v>
      </c>
      <c r="P468" t="s">
        <v>144</v>
      </c>
      <c r="Q468">
        <v>1.6</v>
      </c>
      <c r="R468" t="s">
        <v>30</v>
      </c>
      <c r="S468" t="s">
        <v>58</v>
      </c>
      <c r="T468">
        <v>2024</v>
      </c>
    </row>
    <row r="469" spans="1:20" x14ac:dyDescent="0.3">
      <c r="A469" t="s">
        <v>867</v>
      </c>
      <c r="B469" t="s">
        <v>21</v>
      </c>
      <c r="C469" t="s">
        <v>97</v>
      </c>
      <c r="D469" t="s">
        <v>69</v>
      </c>
      <c r="E469" t="s">
        <v>155</v>
      </c>
      <c r="F469" t="s">
        <v>54</v>
      </c>
      <c r="G469" t="s">
        <v>91</v>
      </c>
      <c r="H469" t="s">
        <v>91</v>
      </c>
      <c r="I469" t="s">
        <v>57</v>
      </c>
      <c r="J469">
        <v>5</v>
      </c>
      <c r="K469">
        <v>18451.91</v>
      </c>
      <c r="L469">
        <v>20</v>
      </c>
      <c r="M469">
        <v>92259.55</v>
      </c>
      <c r="N469">
        <v>60370.14</v>
      </c>
      <c r="O469">
        <v>31889.41</v>
      </c>
      <c r="P469" t="s">
        <v>41</v>
      </c>
      <c r="Q469">
        <v>4.9000000000000004</v>
      </c>
      <c r="R469" t="s">
        <v>30</v>
      </c>
      <c r="S469" t="s">
        <v>31</v>
      </c>
      <c r="T469">
        <v>2024</v>
      </c>
    </row>
    <row r="470" spans="1:20" x14ac:dyDescent="0.3">
      <c r="A470" t="s">
        <v>868</v>
      </c>
      <c r="B470" t="s">
        <v>672</v>
      </c>
      <c r="C470" t="s">
        <v>80</v>
      </c>
      <c r="D470" t="s">
        <v>132</v>
      </c>
      <c r="E470" t="s">
        <v>133</v>
      </c>
      <c r="F470" t="s">
        <v>54</v>
      </c>
      <c r="G470" t="s">
        <v>91</v>
      </c>
      <c r="H470" t="s">
        <v>56</v>
      </c>
      <c r="I470" t="s">
        <v>185</v>
      </c>
      <c r="J470">
        <v>4</v>
      </c>
      <c r="K470">
        <v>31793.09</v>
      </c>
      <c r="L470">
        <v>15</v>
      </c>
      <c r="M470">
        <v>127172.36</v>
      </c>
      <c r="N470">
        <v>90076.04</v>
      </c>
      <c r="O470">
        <v>37096.32</v>
      </c>
      <c r="P470" t="s">
        <v>113</v>
      </c>
      <c r="Q470">
        <v>4.8</v>
      </c>
      <c r="R470" t="s">
        <v>159</v>
      </c>
      <c r="S470" t="s">
        <v>102</v>
      </c>
      <c r="T470">
        <v>2024</v>
      </c>
    </row>
    <row r="471" spans="1:20" x14ac:dyDescent="0.3">
      <c r="A471" t="s">
        <v>869</v>
      </c>
      <c r="B471" t="s">
        <v>704</v>
      </c>
      <c r="C471" t="s">
        <v>200</v>
      </c>
      <c r="D471" t="s">
        <v>81</v>
      </c>
      <c r="E471" t="s">
        <v>128</v>
      </c>
      <c r="F471" t="s">
        <v>37</v>
      </c>
      <c r="G471" t="s">
        <v>38</v>
      </c>
      <c r="H471" t="s">
        <v>140</v>
      </c>
      <c r="I471" t="s">
        <v>40</v>
      </c>
      <c r="J471">
        <v>4</v>
      </c>
      <c r="K471">
        <v>36666.620000000003</v>
      </c>
      <c r="L471">
        <v>5</v>
      </c>
      <c r="M471">
        <v>146666.48000000001</v>
      </c>
      <c r="N471">
        <v>116959.27</v>
      </c>
      <c r="O471">
        <v>29707.21</v>
      </c>
      <c r="P471" t="s">
        <v>144</v>
      </c>
      <c r="Q471">
        <v>2.1</v>
      </c>
      <c r="R471" t="s">
        <v>30</v>
      </c>
      <c r="S471" t="s">
        <v>31</v>
      </c>
      <c r="T471">
        <v>2024</v>
      </c>
    </row>
    <row r="472" spans="1:20" x14ac:dyDescent="0.3">
      <c r="A472" t="s">
        <v>870</v>
      </c>
      <c r="B472" t="s">
        <v>759</v>
      </c>
      <c r="C472" t="s">
        <v>22</v>
      </c>
      <c r="D472" t="s">
        <v>35</v>
      </c>
      <c r="E472" t="s">
        <v>36</v>
      </c>
      <c r="F472" t="s">
        <v>54</v>
      </c>
      <c r="G472" t="s">
        <v>91</v>
      </c>
      <c r="H472" t="s">
        <v>117</v>
      </c>
      <c r="I472" t="s">
        <v>93</v>
      </c>
      <c r="J472">
        <v>1</v>
      </c>
      <c r="K472">
        <v>38681.26</v>
      </c>
      <c r="L472">
        <v>20</v>
      </c>
      <c r="M472">
        <v>38681.26</v>
      </c>
      <c r="N472">
        <v>29137.66</v>
      </c>
      <c r="O472">
        <v>9543.6</v>
      </c>
      <c r="P472" t="s">
        <v>113</v>
      </c>
      <c r="Q472">
        <v>2</v>
      </c>
      <c r="R472" t="s">
        <v>30</v>
      </c>
      <c r="S472" t="s">
        <v>78</v>
      </c>
      <c r="T472">
        <v>2024</v>
      </c>
    </row>
    <row r="473" spans="1:20" x14ac:dyDescent="0.3">
      <c r="A473" t="s">
        <v>871</v>
      </c>
      <c r="B473" t="s">
        <v>872</v>
      </c>
      <c r="C473" t="s">
        <v>61</v>
      </c>
      <c r="D473" t="s">
        <v>125</v>
      </c>
      <c r="E473" t="s">
        <v>126</v>
      </c>
      <c r="F473" t="s">
        <v>62</v>
      </c>
      <c r="G473" t="s">
        <v>63</v>
      </c>
      <c r="H473" t="s">
        <v>64</v>
      </c>
      <c r="I473" t="s">
        <v>165</v>
      </c>
      <c r="J473">
        <v>3</v>
      </c>
      <c r="K473">
        <v>29493.06</v>
      </c>
      <c r="L473">
        <v>30</v>
      </c>
      <c r="M473">
        <v>88479.18</v>
      </c>
      <c r="N473">
        <v>74527.73</v>
      </c>
      <c r="O473">
        <v>13951.45</v>
      </c>
      <c r="P473" t="s">
        <v>122</v>
      </c>
      <c r="Q473">
        <v>4.2</v>
      </c>
      <c r="R473" t="s">
        <v>30</v>
      </c>
      <c r="S473" t="s">
        <v>78</v>
      </c>
      <c r="T473">
        <v>2024</v>
      </c>
    </row>
    <row r="474" spans="1:20" x14ac:dyDescent="0.3">
      <c r="A474" t="s">
        <v>873</v>
      </c>
      <c r="B474" t="s">
        <v>239</v>
      </c>
      <c r="C474" t="s">
        <v>168</v>
      </c>
      <c r="D474" t="s">
        <v>52</v>
      </c>
      <c r="E474" t="s">
        <v>110</v>
      </c>
      <c r="F474" t="s">
        <v>62</v>
      </c>
      <c r="G474" t="s">
        <v>63</v>
      </c>
      <c r="H474" t="s">
        <v>152</v>
      </c>
      <c r="I474" t="s">
        <v>143</v>
      </c>
      <c r="J474">
        <v>2</v>
      </c>
      <c r="K474">
        <v>30009.200000000001</v>
      </c>
      <c r="L474">
        <v>20</v>
      </c>
      <c r="M474">
        <v>60018.400000000001</v>
      </c>
      <c r="N474">
        <v>41940.65</v>
      </c>
      <c r="O474">
        <v>18077.75</v>
      </c>
      <c r="P474" t="s">
        <v>29</v>
      </c>
      <c r="Q474">
        <v>3</v>
      </c>
      <c r="R474" t="s">
        <v>30</v>
      </c>
      <c r="S474" t="s">
        <v>119</v>
      </c>
      <c r="T474">
        <v>2024</v>
      </c>
    </row>
    <row r="475" spans="1:20" x14ac:dyDescent="0.3">
      <c r="A475" t="s">
        <v>874</v>
      </c>
      <c r="B475" t="s">
        <v>875</v>
      </c>
      <c r="C475" t="s">
        <v>116</v>
      </c>
      <c r="D475" t="s">
        <v>81</v>
      </c>
      <c r="E475" t="s">
        <v>128</v>
      </c>
      <c r="F475" t="s">
        <v>37</v>
      </c>
      <c r="G475" t="s">
        <v>38</v>
      </c>
      <c r="H475" t="s">
        <v>140</v>
      </c>
      <c r="I475" t="s">
        <v>40</v>
      </c>
      <c r="J475">
        <v>2</v>
      </c>
      <c r="K475">
        <v>23089.32</v>
      </c>
      <c r="L475">
        <v>5</v>
      </c>
      <c r="M475">
        <v>46178.64</v>
      </c>
      <c r="N475">
        <v>34311.949999999997</v>
      </c>
      <c r="O475">
        <v>11866.69</v>
      </c>
      <c r="P475" t="s">
        <v>144</v>
      </c>
      <c r="Q475">
        <v>3.1</v>
      </c>
      <c r="R475" t="s">
        <v>66</v>
      </c>
      <c r="S475" t="s">
        <v>31</v>
      </c>
      <c r="T475">
        <v>2024</v>
      </c>
    </row>
    <row r="476" spans="1:20" x14ac:dyDescent="0.3">
      <c r="A476" t="s">
        <v>876</v>
      </c>
      <c r="B476" t="s">
        <v>257</v>
      </c>
      <c r="C476" t="s">
        <v>34</v>
      </c>
      <c r="D476" t="s">
        <v>132</v>
      </c>
      <c r="E476" t="s">
        <v>158</v>
      </c>
      <c r="F476" t="s">
        <v>62</v>
      </c>
      <c r="G476" t="s">
        <v>63</v>
      </c>
      <c r="H476" t="s">
        <v>271</v>
      </c>
      <c r="I476" t="s">
        <v>143</v>
      </c>
      <c r="J476">
        <v>4</v>
      </c>
      <c r="K476">
        <v>32460.13</v>
      </c>
      <c r="L476">
        <v>15</v>
      </c>
      <c r="M476">
        <v>129840.52</v>
      </c>
      <c r="N476">
        <v>101038.82</v>
      </c>
      <c r="O476">
        <v>28801.7</v>
      </c>
      <c r="P476" t="s">
        <v>122</v>
      </c>
      <c r="Q476">
        <v>3.7</v>
      </c>
      <c r="R476" t="s">
        <v>30</v>
      </c>
      <c r="S476" t="s">
        <v>107</v>
      </c>
      <c r="T476">
        <v>2024</v>
      </c>
    </row>
    <row r="477" spans="1:20" x14ac:dyDescent="0.3">
      <c r="A477" t="s">
        <v>877</v>
      </c>
      <c r="B477" t="s">
        <v>878</v>
      </c>
      <c r="C477" t="s">
        <v>34</v>
      </c>
      <c r="D477" t="s">
        <v>69</v>
      </c>
      <c r="E477" t="s">
        <v>155</v>
      </c>
      <c r="F477" t="s">
        <v>54</v>
      </c>
      <c r="G477" t="s">
        <v>228</v>
      </c>
      <c r="H477" t="s">
        <v>56</v>
      </c>
      <c r="I477" t="s">
        <v>93</v>
      </c>
      <c r="J477">
        <v>3</v>
      </c>
      <c r="K477">
        <v>29509.14</v>
      </c>
      <c r="L477">
        <v>30</v>
      </c>
      <c r="M477">
        <v>88527.42</v>
      </c>
      <c r="N477">
        <v>69191.41</v>
      </c>
      <c r="O477">
        <v>19336.009999999998</v>
      </c>
      <c r="P477" t="s">
        <v>144</v>
      </c>
      <c r="Q477">
        <v>4.0999999999999996</v>
      </c>
      <c r="R477" t="s">
        <v>30</v>
      </c>
      <c r="S477" t="s">
        <v>42</v>
      </c>
      <c r="T477">
        <v>2024</v>
      </c>
    </row>
    <row r="478" spans="1:20" x14ac:dyDescent="0.3">
      <c r="A478" t="s">
        <v>879</v>
      </c>
      <c r="B478" t="s">
        <v>335</v>
      </c>
      <c r="C478" t="s">
        <v>80</v>
      </c>
      <c r="D478" t="s">
        <v>52</v>
      </c>
      <c r="E478" t="s">
        <v>53</v>
      </c>
      <c r="F478" t="s">
        <v>25</v>
      </c>
      <c r="G478" t="s">
        <v>111</v>
      </c>
      <c r="H478" t="s">
        <v>27</v>
      </c>
      <c r="I478" t="s">
        <v>112</v>
      </c>
      <c r="J478">
        <v>3</v>
      </c>
      <c r="K478">
        <v>5528.69</v>
      </c>
      <c r="L478">
        <v>20</v>
      </c>
      <c r="M478">
        <v>16586.07</v>
      </c>
      <c r="N478">
        <v>10938.38</v>
      </c>
      <c r="O478">
        <v>5647.69</v>
      </c>
      <c r="P478" t="s">
        <v>29</v>
      </c>
      <c r="Q478">
        <v>4.2</v>
      </c>
      <c r="R478" t="s">
        <v>30</v>
      </c>
      <c r="S478" t="s">
        <v>31</v>
      </c>
      <c r="T478">
        <v>2024</v>
      </c>
    </row>
    <row r="479" spans="1:20" x14ac:dyDescent="0.3">
      <c r="A479" t="s">
        <v>880</v>
      </c>
      <c r="B479" t="s">
        <v>358</v>
      </c>
      <c r="C479" t="s">
        <v>97</v>
      </c>
      <c r="D479" t="s">
        <v>125</v>
      </c>
      <c r="E479" t="s">
        <v>126</v>
      </c>
      <c r="F479" t="s">
        <v>25</v>
      </c>
      <c r="G479" t="s">
        <v>111</v>
      </c>
      <c r="H479" t="s">
        <v>221</v>
      </c>
      <c r="I479" t="s">
        <v>28</v>
      </c>
      <c r="J479">
        <v>5</v>
      </c>
      <c r="K479">
        <v>11864.67</v>
      </c>
      <c r="L479">
        <v>20</v>
      </c>
      <c r="M479">
        <v>59323.35</v>
      </c>
      <c r="N479">
        <v>42034.09</v>
      </c>
      <c r="O479">
        <v>17289.259999999998</v>
      </c>
      <c r="P479" t="s">
        <v>144</v>
      </c>
      <c r="Q479">
        <v>2.8</v>
      </c>
      <c r="R479" t="s">
        <v>30</v>
      </c>
      <c r="S479" t="s">
        <v>31</v>
      </c>
      <c r="T479">
        <v>2024</v>
      </c>
    </row>
    <row r="480" spans="1:20" x14ac:dyDescent="0.3">
      <c r="A480" t="s">
        <v>881</v>
      </c>
      <c r="B480" t="s">
        <v>463</v>
      </c>
      <c r="C480" t="s">
        <v>200</v>
      </c>
      <c r="D480" t="s">
        <v>52</v>
      </c>
      <c r="E480" t="s">
        <v>110</v>
      </c>
      <c r="F480" t="s">
        <v>62</v>
      </c>
      <c r="G480" t="s">
        <v>63</v>
      </c>
      <c r="H480" t="s">
        <v>271</v>
      </c>
      <c r="I480" t="s">
        <v>65</v>
      </c>
      <c r="J480">
        <v>2</v>
      </c>
      <c r="K480">
        <v>14273.74</v>
      </c>
      <c r="L480">
        <v>30</v>
      </c>
      <c r="M480">
        <v>28547.48</v>
      </c>
      <c r="N480">
        <v>23573.63</v>
      </c>
      <c r="O480">
        <v>4973.8500000000004</v>
      </c>
      <c r="P480" t="s">
        <v>144</v>
      </c>
      <c r="Q480">
        <v>3.8</v>
      </c>
      <c r="R480" t="s">
        <v>30</v>
      </c>
      <c r="S480" t="s">
        <v>42</v>
      </c>
      <c r="T480">
        <v>2024</v>
      </c>
    </row>
    <row r="481" spans="1:20" x14ac:dyDescent="0.3">
      <c r="A481" t="s">
        <v>882</v>
      </c>
      <c r="B481" t="s">
        <v>510</v>
      </c>
      <c r="C481" t="s">
        <v>116</v>
      </c>
      <c r="D481" t="s">
        <v>23</v>
      </c>
      <c r="E481" t="s">
        <v>24</v>
      </c>
      <c r="F481" t="s">
        <v>25</v>
      </c>
      <c r="G481" t="s">
        <v>26</v>
      </c>
      <c r="H481" t="s">
        <v>27</v>
      </c>
      <c r="I481" t="s">
        <v>112</v>
      </c>
      <c r="J481">
        <v>3</v>
      </c>
      <c r="K481">
        <v>26806.06</v>
      </c>
      <c r="L481">
        <v>25</v>
      </c>
      <c r="M481">
        <v>80418.179999999993</v>
      </c>
      <c r="N481">
        <v>61145.53</v>
      </c>
      <c r="O481">
        <v>19272.650000000001</v>
      </c>
      <c r="P481" t="s">
        <v>73</v>
      </c>
      <c r="Q481">
        <v>4.3</v>
      </c>
      <c r="R481" t="s">
        <v>30</v>
      </c>
      <c r="S481" t="s">
        <v>78</v>
      </c>
      <c r="T481">
        <v>2024</v>
      </c>
    </row>
    <row r="482" spans="1:20" x14ac:dyDescent="0.3">
      <c r="A482" t="s">
        <v>883</v>
      </c>
      <c r="B482" t="s">
        <v>884</v>
      </c>
      <c r="C482" t="s">
        <v>116</v>
      </c>
      <c r="D482" t="s">
        <v>98</v>
      </c>
      <c r="E482" t="s">
        <v>99</v>
      </c>
      <c r="F482" t="s">
        <v>37</v>
      </c>
      <c r="G482" t="s">
        <v>38</v>
      </c>
      <c r="H482" t="s">
        <v>86</v>
      </c>
      <c r="I482" t="s">
        <v>40</v>
      </c>
      <c r="J482">
        <v>4</v>
      </c>
      <c r="K482">
        <v>18757.07</v>
      </c>
      <c r="L482">
        <v>10</v>
      </c>
      <c r="M482">
        <v>75028.28</v>
      </c>
      <c r="N482">
        <v>63753.95</v>
      </c>
      <c r="O482">
        <v>11274.33</v>
      </c>
      <c r="P482" t="s">
        <v>41</v>
      </c>
      <c r="Q482">
        <v>4.2</v>
      </c>
      <c r="R482" t="s">
        <v>30</v>
      </c>
      <c r="S482" t="s">
        <v>58</v>
      </c>
      <c r="T482">
        <v>2024</v>
      </c>
    </row>
    <row r="483" spans="1:20" x14ac:dyDescent="0.3">
      <c r="A483" t="s">
        <v>885</v>
      </c>
      <c r="B483" t="s">
        <v>377</v>
      </c>
      <c r="C483" t="s">
        <v>116</v>
      </c>
      <c r="D483" t="s">
        <v>23</v>
      </c>
      <c r="E483" t="s">
        <v>24</v>
      </c>
      <c r="F483" t="s">
        <v>25</v>
      </c>
      <c r="G483" t="s">
        <v>26</v>
      </c>
      <c r="H483" t="s">
        <v>235</v>
      </c>
      <c r="I483" t="s">
        <v>112</v>
      </c>
      <c r="J483">
        <v>4</v>
      </c>
      <c r="K483">
        <v>19661.09</v>
      </c>
      <c r="L483">
        <v>25</v>
      </c>
      <c r="M483">
        <v>78644.36</v>
      </c>
      <c r="N483">
        <v>61579.02</v>
      </c>
      <c r="O483">
        <v>17065.34</v>
      </c>
      <c r="P483" t="s">
        <v>144</v>
      </c>
      <c r="Q483">
        <v>2.5</v>
      </c>
      <c r="R483" t="s">
        <v>159</v>
      </c>
      <c r="S483" t="s">
        <v>119</v>
      </c>
      <c r="T483">
        <v>2024</v>
      </c>
    </row>
    <row r="484" spans="1:20" x14ac:dyDescent="0.3">
      <c r="A484" t="s">
        <v>886</v>
      </c>
      <c r="B484" t="s">
        <v>887</v>
      </c>
      <c r="C484" t="s">
        <v>97</v>
      </c>
      <c r="D484" t="s">
        <v>69</v>
      </c>
      <c r="E484" t="s">
        <v>70</v>
      </c>
      <c r="F484" t="s">
        <v>25</v>
      </c>
      <c r="G484" t="s">
        <v>26</v>
      </c>
      <c r="H484" t="s">
        <v>235</v>
      </c>
      <c r="I484" t="s">
        <v>28</v>
      </c>
      <c r="J484">
        <v>1</v>
      </c>
      <c r="K484">
        <v>27434.25</v>
      </c>
      <c r="L484">
        <v>20</v>
      </c>
      <c r="M484">
        <v>27434.25</v>
      </c>
      <c r="N484">
        <v>20898.669999999998</v>
      </c>
      <c r="O484">
        <v>6535.58</v>
      </c>
      <c r="P484" t="s">
        <v>113</v>
      </c>
      <c r="Q484">
        <v>3.8</v>
      </c>
      <c r="R484" t="s">
        <v>30</v>
      </c>
      <c r="S484" t="s">
        <v>94</v>
      </c>
      <c r="T484">
        <v>2024</v>
      </c>
    </row>
    <row r="485" spans="1:20" x14ac:dyDescent="0.3">
      <c r="A485" t="s">
        <v>888</v>
      </c>
      <c r="B485" t="s">
        <v>237</v>
      </c>
      <c r="C485" t="s">
        <v>22</v>
      </c>
      <c r="D485" t="s">
        <v>52</v>
      </c>
      <c r="E485" t="s">
        <v>110</v>
      </c>
      <c r="F485" t="s">
        <v>25</v>
      </c>
      <c r="G485" t="s">
        <v>111</v>
      </c>
      <c r="H485" t="s">
        <v>27</v>
      </c>
      <c r="I485" t="s">
        <v>112</v>
      </c>
      <c r="J485">
        <v>4</v>
      </c>
      <c r="K485">
        <v>6322.42</v>
      </c>
      <c r="L485">
        <v>10</v>
      </c>
      <c r="M485">
        <v>25289.68</v>
      </c>
      <c r="N485">
        <v>21400.93</v>
      </c>
      <c r="O485">
        <v>3888.75</v>
      </c>
      <c r="P485" t="s">
        <v>41</v>
      </c>
      <c r="Q485">
        <v>4</v>
      </c>
      <c r="R485" t="s">
        <v>30</v>
      </c>
      <c r="S485" t="s">
        <v>162</v>
      </c>
      <c r="T485">
        <v>2024</v>
      </c>
    </row>
    <row r="486" spans="1:20" x14ac:dyDescent="0.3">
      <c r="A486" t="s">
        <v>889</v>
      </c>
      <c r="B486" t="s">
        <v>364</v>
      </c>
      <c r="C486" t="s">
        <v>136</v>
      </c>
      <c r="D486" t="s">
        <v>81</v>
      </c>
      <c r="E486" t="s">
        <v>149</v>
      </c>
      <c r="F486" t="s">
        <v>25</v>
      </c>
      <c r="G486" t="s">
        <v>26</v>
      </c>
      <c r="H486" t="s">
        <v>121</v>
      </c>
      <c r="I486" t="s">
        <v>28</v>
      </c>
      <c r="J486">
        <v>2</v>
      </c>
      <c r="K486">
        <v>4316.82</v>
      </c>
      <c r="L486">
        <v>30</v>
      </c>
      <c r="M486">
        <v>8633.64</v>
      </c>
      <c r="N486">
        <v>5940.34</v>
      </c>
      <c r="O486">
        <v>2693.3</v>
      </c>
      <c r="P486" t="s">
        <v>122</v>
      </c>
      <c r="Q486">
        <v>3.6</v>
      </c>
      <c r="R486" t="s">
        <v>30</v>
      </c>
      <c r="S486" t="s">
        <v>49</v>
      </c>
      <c r="T486">
        <v>2024</v>
      </c>
    </row>
    <row r="487" spans="1:20" x14ac:dyDescent="0.3">
      <c r="A487" t="s">
        <v>890</v>
      </c>
      <c r="B487" t="s">
        <v>891</v>
      </c>
      <c r="C487" t="s">
        <v>61</v>
      </c>
      <c r="D487" t="s">
        <v>125</v>
      </c>
      <c r="E487" t="s">
        <v>139</v>
      </c>
      <c r="F487" t="s">
        <v>37</v>
      </c>
      <c r="G487" t="s">
        <v>38</v>
      </c>
      <c r="H487" t="s">
        <v>327</v>
      </c>
      <c r="I487" t="s">
        <v>40</v>
      </c>
      <c r="J487">
        <v>4</v>
      </c>
      <c r="K487">
        <v>45426.39</v>
      </c>
      <c r="L487">
        <v>30</v>
      </c>
      <c r="M487">
        <v>181705.56</v>
      </c>
      <c r="N487">
        <v>149841.18</v>
      </c>
      <c r="O487">
        <v>31864.38</v>
      </c>
      <c r="P487" t="s">
        <v>144</v>
      </c>
      <c r="Q487">
        <v>2.8</v>
      </c>
      <c r="R487" t="s">
        <v>159</v>
      </c>
      <c r="S487" t="s">
        <v>74</v>
      </c>
      <c r="T487">
        <v>2024</v>
      </c>
    </row>
    <row r="488" spans="1:20" x14ac:dyDescent="0.3">
      <c r="A488" t="s">
        <v>892</v>
      </c>
      <c r="B488" t="s">
        <v>115</v>
      </c>
      <c r="C488" t="s">
        <v>200</v>
      </c>
      <c r="D488" t="s">
        <v>81</v>
      </c>
      <c r="E488" t="s">
        <v>82</v>
      </c>
      <c r="F488" t="s">
        <v>54</v>
      </c>
      <c r="G488" t="s">
        <v>91</v>
      </c>
      <c r="H488" t="s">
        <v>179</v>
      </c>
      <c r="I488" t="s">
        <v>296</v>
      </c>
      <c r="J488">
        <v>3</v>
      </c>
      <c r="K488">
        <v>14971.45</v>
      </c>
      <c r="L488">
        <v>5</v>
      </c>
      <c r="M488">
        <v>44914.35</v>
      </c>
      <c r="N488">
        <v>34247.82</v>
      </c>
      <c r="O488">
        <v>10666.53</v>
      </c>
      <c r="P488" t="s">
        <v>41</v>
      </c>
      <c r="Q488">
        <v>4.5</v>
      </c>
      <c r="R488" t="s">
        <v>30</v>
      </c>
      <c r="S488" t="s">
        <v>119</v>
      </c>
      <c r="T488">
        <v>2024</v>
      </c>
    </row>
    <row r="489" spans="1:20" x14ac:dyDescent="0.3">
      <c r="A489" t="s">
        <v>893</v>
      </c>
      <c r="B489" t="s">
        <v>683</v>
      </c>
      <c r="C489" t="s">
        <v>90</v>
      </c>
      <c r="D489" t="s">
        <v>23</v>
      </c>
      <c r="E489" t="s">
        <v>24</v>
      </c>
      <c r="F489" t="s">
        <v>62</v>
      </c>
      <c r="G489" t="s">
        <v>71</v>
      </c>
      <c r="H489" t="s">
        <v>152</v>
      </c>
      <c r="I489" t="s">
        <v>143</v>
      </c>
      <c r="J489">
        <v>2</v>
      </c>
      <c r="K489">
        <v>12245.12</v>
      </c>
      <c r="L489">
        <v>30</v>
      </c>
      <c r="M489">
        <v>24490.240000000002</v>
      </c>
      <c r="N489">
        <v>16268.97</v>
      </c>
      <c r="O489">
        <v>8221.27</v>
      </c>
      <c r="P489" t="s">
        <v>113</v>
      </c>
      <c r="Q489">
        <v>4.5</v>
      </c>
      <c r="R489" t="s">
        <v>30</v>
      </c>
      <c r="S489" t="s">
        <v>162</v>
      </c>
      <c r="T489">
        <v>2024</v>
      </c>
    </row>
    <row r="490" spans="1:20" x14ac:dyDescent="0.3">
      <c r="A490" t="s">
        <v>894</v>
      </c>
      <c r="B490" t="s">
        <v>824</v>
      </c>
      <c r="C490" t="s">
        <v>34</v>
      </c>
      <c r="D490" t="s">
        <v>35</v>
      </c>
      <c r="E490" t="s">
        <v>36</v>
      </c>
      <c r="F490" t="s">
        <v>25</v>
      </c>
      <c r="G490" t="s">
        <v>26</v>
      </c>
      <c r="H490" t="s">
        <v>129</v>
      </c>
      <c r="I490" t="s">
        <v>28</v>
      </c>
      <c r="J490">
        <v>4</v>
      </c>
      <c r="K490">
        <v>48405.89</v>
      </c>
      <c r="L490">
        <v>15</v>
      </c>
      <c r="M490">
        <v>193623.56</v>
      </c>
      <c r="N490">
        <v>145348.66</v>
      </c>
      <c r="O490">
        <v>48274.9</v>
      </c>
      <c r="P490" t="s">
        <v>73</v>
      </c>
      <c r="Q490">
        <v>4.9000000000000004</v>
      </c>
      <c r="R490" t="s">
        <v>30</v>
      </c>
      <c r="S490" t="s">
        <v>94</v>
      </c>
      <c r="T490">
        <v>2024</v>
      </c>
    </row>
    <row r="491" spans="1:20" x14ac:dyDescent="0.3">
      <c r="A491" t="s">
        <v>895</v>
      </c>
      <c r="B491" t="s">
        <v>896</v>
      </c>
      <c r="C491" t="s">
        <v>34</v>
      </c>
      <c r="D491" t="s">
        <v>52</v>
      </c>
      <c r="E491" t="s">
        <v>53</v>
      </c>
      <c r="F491" t="s">
        <v>45</v>
      </c>
      <c r="G491" t="s">
        <v>46</v>
      </c>
      <c r="H491" t="s">
        <v>176</v>
      </c>
      <c r="I491" t="s">
        <v>48</v>
      </c>
      <c r="J491">
        <v>5</v>
      </c>
      <c r="K491">
        <v>12757.67</v>
      </c>
      <c r="L491">
        <v>15</v>
      </c>
      <c r="M491">
        <v>63788.35</v>
      </c>
      <c r="N491">
        <v>48644.89</v>
      </c>
      <c r="O491">
        <v>15143.46</v>
      </c>
      <c r="P491" t="s">
        <v>41</v>
      </c>
      <c r="Q491">
        <v>3.3</v>
      </c>
      <c r="R491" t="s">
        <v>159</v>
      </c>
      <c r="S491" t="s">
        <v>58</v>
      </c>
      <c r="T491">
        <v>2024</v>
      </c>
    </row>
    <row r="492" spans="1:20" x14ac:dyDescent="0.3">
      <c r="A492" t="s">
        <v>897</v>
      </c>
      <c r="B492" t="s">
        <v>497</v>
      </c>
      <c r="C492" t="s">
        <v>34</v>
      </c>
      <c r="D492" t="s">
        <v>23</v>
      </c>
      <c r="E492" t="s">
        <v>24</v>
      </c>
      <c r="F492" t="s">
        <v>37</v>
      </c>
      <c r="G492" t="s">
        <v>38</v>
      </c>
      <c r="H492" t="s">
        <v>327</v>
      </c>
      <c r="I492" t="s">
        <v>40</v>
      </c>
      <c r="J492">
        <v>2</v>
      </c>
      <c r="K492">
        <v>33071.089999999997</v>
      </c>
      <c r="L492">
        <v>5</v>
      </c>
      <c r="M492">
        <v>66142.179999999993</v>
      </c>
      <c r="N492">
        <v>44115.71</v>
      </c>
      <c r="O492">
        <v>22026.47</v>
      </c>
      <c r="P492" t="s">
        <v>113</v>
      </c>
      <c r="Q492">
        <v>3.5</v>
      </c>
      <c r="R492" t="s">
        <v>30</v>
      </c>
      <c r="S492" t="s">
        <v>74</v>
      </c>
      <c r="T492">
        <v>2024</v>
      </c>
    </row>
    <row r="493" spans="1:20" x14ac:dyDescent="0.3">
      <c r="A493" t="s">
        <v>898</v>
      </c>
      <c r="B493" t="s">
        <v>230</v>
      </c>
      <c r="C493" t="s">
        <v>136</v>
      </c>
      <c r="D493" t="s">
        <v>52</v>
      </c>
      <c r="E493" t="s">
        <v>110</v>
      </c>
      <c r="F493" t="s">
        <v>45</v>
      </c>
      <c r="G493" t="s">
        <v>105</v>
      </c>
      <c r="H493" t="s">
        <v>176</v>
      </c>
      <c r="I493" t="s">
        <v>169</v>
      </c>
      <c r="J493">
        <v>1</v>
      </c>
      <c r="K493">
        <v>4869.5600000000004</v>
      </c>
      <c r="L493">
        <v>5</v>
      </c>
      <c r="M493">
        <v>4869.5600000000004</v>
      </c>
      <c r="N493">
        <v>3426.52</v>
      </c>
      <c r="O493">
        <v>1443.04</v>
      </c>
      <c r="P493" t="s">
        <v>41</v>
      </c>
      <c r="Q493">
        <v>1.9</v>
      </c>
      <c r="R493" t="s">
        <v>30</v>
      </c>
      <c r="S493" t="s">
        <v>107</v>
      </c>
      <c r="T493">
        <v>2024</v>
      </c>
    </row>
    <row r="494" spans="1:20" x14ac:dyDescent="0.3">
      <c r="A494" t="s">
        <v>899</v>
      </c>
      <c r="B494" t="s">
        <v>349</v>
      </c>
      <c r="C494" t="s">
        <v>34</v>
      </c>
      <c r="D494" t="s">
        <v>23</v>
      </c>
      <c r="E494" t="s">
        <v>24</v>
      </c>
      <c r="F494" t="s">
        <v>37</v>
      </c>
      <c r="G494" t="s">
        <v>38</v>
      </c>
      <c r="H494" t="s">
        <v>140</v>
      </c>
      <c r="I494" t="s">
        <v>40</v>
      </c>
      <c r="J494">
        <v>4</v>
      </c>
      <c r="K494">
        <v>45127.31</v>
      </c>
      <c r="L494">
        <v>15</v>
      </c>
      <c r="M494">
        <v>180509.24</v>
      </c>
      <c r="N494">
        <v>147188.07</v>
      </c>
      <c r="O494">
        <v>33321.17</v>
      </c>
      <c r="P494" t="s">
        <v>113</v>
      </c>
      <c r="Q494">
        <v>4.2</v>
      </c>
      <c r="R494" t="s">
        <v>30</v>
      </c>
      <c r="S494" t="s">
        <v>87</v>
      </c>
      <c r="T494">
        <v>2025</v>
      </c>
    </row>
    <row r="495" spans="1:20" x14ac:dyDescent="0.3">
      <c r="A495" t="s">
        <v>900</v>
      </c>
      <c r="B495" t="s">
        <v>178</v>
      </c>
      <c r="C495" t="s">
        <v>116</v>
      </c>
      <c r="D495" t="s">
        <v>98</v>
      </c>
      <c r="E495" t="s">
        <v>99</v>
      </c>
      <c r="F495" t="s">
        <v>62</v>
      </c>
      <c r="G495" t="s">
        <v>71</v>
      </c>
      <c r="H495" t="s">
        <v>152</v>
      </c>
      <c r="I495" t="s">
        <v>143</v>
      </c>
      <c r="J495">
        <v>1</v>
      </c>
      <c r="K495">
        <v>8867.7199999999993</v>
      </c>
      <c r="L495">
        <v>15</v>
      </c>
      <c r="M495">
        <v>8867.7199999999993</v>
      </c>
      <c r="N495">
        <v>6648.1</v>
      </c>
      <c r="O495">
        <v>2219.62</v>
      </c>
      <c r="P495" t="s">
        <v>144</v>
      </c>
      <c r="Q495">
        <v>4.3</v>
      </c>
      <c r="R495" t="s">
        <v>30</v>
      </c>
      <c r="S495" t="s">
        <v>74</v>
      </c>
      <c r="T495">
        <v>2024</v>
      </c>
    </row>
    <row r="496" spans="1:20" x14ac:dyDescent="0.3">
      <c r="A496" t="s">
        <v>901</v>
      </c>
      <c r="B496" t="s">
        <v>343</v>
      </c>
      <c r="C496" t="s">
        <v>90</v>
      </c>
      <c r="D496" t="s">
        <v>35</v>
      </c>
      <c r="E496" t="s">
        <v>36</v>
      </c>
      <c r="F496" t="s">
        <v>62</v>
      </c>
      <c r="G496" t="s">
        <v>63</v>
      </c>
      <c r="H496" t="s">
        <v>64</v>
      </c>
      <c r="I496" t="s">
        <v>65</v>
      </c>
      <c r="J496">
        <v>1</v>
      </c>
      <c r="K496">
        <v>31749.94</v>
      </c>
      <c r="L496">
        <v>15</v>
      </c>
      <c r="M496">
        <v>31749.94</v>
      </c>
      <c r="N496">
        <v>23183.91</v>
      </c>
      <c r="O496">
        <v>8566.0300000000007</v>
      </c>
      <c r="P496" t="s">
        <v>113</v>
      </c>
      <c r="Q496">
        <v>3.1</v>
      </c>
      <c r="R496" t="s">
        <v>30</v>
      </c>
      <c r="S496" t="s">
        <v>49</v>
      </c>
      <c r="T496">
        <v>2024</v>
      </c>
    </row>
    <row r="497" spans="1:20" x14ac:dyDescent="0.3">
      <c r="A497" t="s">
        <v>902</v>
      </c>
      <c r="B497" t="s">
        <v>903</v>
      </c>
      <c r="C497" t="s">
        <v>90</v>
      </c>
      <c r="D497" t="s">
        <v>23</v>
      </c>
      <c r="E497" t="s">
        <v>24</v>
      </c>
      <c r="F497" t="s">
        <v>45</v>
      </c>
      <c r="G497" t="s">
        <v>46</v>
      </c>
      <c r="H497" t="s">
        <v>188</v>
      </c>
      <c r="I497" t="s">
        <v>169</v>
      </c>
      <c r="J497">
        <v>2</v>
      </c>
      <c r="K497">
        <v>40944.769999999997</v>
      </c>
      <c r="L497">
        <v>25</v>
      </c>
      <c r="M497">
        <v>81889.539999999994</v>
      </c>
      <c r="N497">
        <v>67228.350000000006</v>
      </c>
      <c r="O497">
        <v>14661.19</v>
      </c>
      <c r="P497" t="s">
        <v>122</v>
      </c>
      <c r="Q497">
        <v>2.9</v>
      </c>
      <c r="R497" t="s">
        <v>30</v>
      </c>
      <c r="S497" t="s">
        <v>58</v>
      </c>
      <c r="T497">
        <v>2024</v>
      </c>
    </row>
    <row r="498" spans="1:20" x14ac:dyDescent="0.3">
      <c r="A498" t="s">
        <v>904</v>
      </c>
      <c r="B498" t="s">
        <v>905</v>
      </c>
      <c r="C498" t="s">
        <v>61</v>
      </c>
      <c r="D498" t="s">
        <v>69</v>
      </c>
      <c r="E498" t="s">
        <v>155</v>
      </c>
      <c r="F498" t="s">
        <v>62</v>
      </c>
      <c r="G498" t="s">
        <v>71</v>
      </c>
      <c r="H498" t="s">
        <v>83</v>
      </c>
      <c r="I498" t="s">
        <v>65</v>
      </c>
      <c r="J498">
        <v>4</v>
      </c>
      <c r="K498">
        <v>20859.61</v>
      </c>
      <c r="L498">
        <v>5</v>
      </c>
      <c r="M498">
        <v>83438.44</v>
      </c>
      <c r="N498">
        <v>70378.75</v>
      </c>
      <c r="O498">
        <v>13059.69</v>
      </c>
      <c r="P498" t="s">
        <v>73</v>
      </c>
      <c r="Q498">
        <v>4.9000000000000004</v>
      </c>
      <c r="R498" t="s">
        <v>30</v>
      </c>
      <c r="S498" t="s">
        <v>107</v>
      </c>
      <c r="T498">
        <v>2024</v>
      </c>
    </row>
    <row r="499" spans="1:20" x14ac:dyDescent="0.3">
      <c r="A499" t="s">
        <v>906</v>
      </c>
      <c r="B499" t="s">
        <v>543</v>
      </c>
      <c r="C499" t="s">
        <v>200</v>
      </c>
      <c r="D499" t="s">
        <v>52</v>
      </c>
      <c r="E499" t="s">
        <v>53</v>
      </c>
      <c r="F499" t="s">
        <v>25</v>
      </c>
      <c r="G499" t="s">
        <v>26</v>
      </c>
      <c r="H499" t="s">
        <v>27</v>
      </c>
      <c r="I499" t="s">
        <v>28</v>
      </c>
      <c r="J499">
        <v>5</v>
      </c>
      <c r="K499">
        <v>6884.74</v>
      </c>
      <c r="L499">
        <v>10</v>
      </c>
      <c r="M499">
        <v>34423.699999999997</v>
      </c>
      <c r="N499">
        <v>24174.41</v>
      </c>
      <c r="O499">
        <v>10249.290000000001</v>
      </c>
      <c r="P499" t="s">
        <v>144</v>
      </c>
      <c r="Q499">
        <v>1.4</v>
      </c>
      <c r="R499" t="s">
        <v>30</v>
      </c>
      <c r="S499" t="s">
        <v>162</v>
      </c>
      <c r="T499">
        <v>2024</v>
      </c>
    </row>
    <row r="500" spans="1:20" x14ac:dyDescent="0.3">
      <c r="A500" t="s">
        <v>907</v>
      </c>
      <c r="B500" t="s">
        <v>164</v>
      </c>
      <c r="C500" t="s">
        <v>116</v>
      </c>
      <c r="D500" t="s">
        <v>125</v>
      </c>
      <c r="E500" t="s">
        <v>139</v>
      </c>
      <c r="F500" t="s">
        <v>37</v>
      </c>
      <c r="G500" t="s">
        <v>38</v>
      </c>
      <c r="H500" t="s">
        <v>39</v>
      </c>
      <c r="I500" t="s">
        <v>40</v>
      </c>
      <c r="J500">
        <v>3</v>
      </c>
      <c r="K500">
        <v>40238.5</v>
      </c>
      <c r="L500">
        <v>25</v>
      </c>
      <c r="M500">
        <v>120715.5</v>
      </c>
      <c r="N500">
        <v>88944.97</v>
      </c>
      <c r="O500">
        <v>31770.53</v>
      </c>
      <c r="P500" t="s">
        <v>73</v>
      </c>
      <c r="Q500">
        <v>3.9</v>
      </c>
      <c r="R500" t="s">
        <v>30</v>
      </c>
      <c r="S500" t="s">
        <v>78</v>
      </c>
      <c r="T500">
        <v>2024</v>
      </c>
    </row>
    <row r="501" spans="1:20" x14ac:dyDescent="0.3">
      <c r="A501" t="s">
        <v>908</v>
      </c>
      <c r="B501" t="s">
        <v>909</v>
      </c>
      <c r="C501" t="s">
        <v>34</v>
      </c>
      <c r="D501" t="s">
        <v>132</v>
      </c>
      <c r="E501" t="s">
        <v>133</v>
      </c>
      <c r="F501" t="s">
        <v>54</v>
      </c>
      <c r="G501" t="s">
        <v>91</v>
      </c>
      <c r="H501" t="s">
        <v>117</v>
      </c>
      <c r="I501" t="s">
        <v>180</v>
      </c>
      <c r="J501">
        <v>5</v>
      </c>
      <c r="K501">
        <v>10422.280000000001</v>
      </c>
      <c r="L501">
        <v>30</v>
      </c>
      <c r="M501">
        <v>52111.4</v>
      </c>
      <c r="N501">
        <v>42799.6</v>
      </c>
      <c r="O501">
        <v>9311.7999999999993</v>
      </c>
      <c r="P501" t="s">
        <v>144</v>
      </c>
      <c r="Q501">
        <v>3.5</v>
      </c>
      <c r="R501" t="s">
        <v>30</v>
      </c>
      <c r="S501" t="s">
        <v>119</v>
      </c>
      <c r="T501">
        <v>2024</v>
      </c>
    </row>
    <row r="502" spans="1:20" x14ac:dyDescent="0.3">
      <c r="A502" t="s">
        <v>910</v>
      </c>
      <c r="B502" t="s">
        <v>401</v>
      </c>
      <c r="C502" t="s">
        <v>116</v>
      </c>
      <c r="D502" t="s">
        <v>132</v>
      </c>
      <c r="E502" t="s">
        <v>133</v>
      </c>
      <c r="F502" t="s">
        <v>25</v>
      </c>
      <c r="G502" t="s">
        <v>111</v>
      </c>
      <c r="H502" t="s">
        <v>235</v>
      </c>
      <c r="I502" t="s">
        <v>28</v>
      </c>
      <c r="J502">
        <v>1</v>
      </c>
      <c r="K502">
        <v>13862.56</v>
      </c>
      <c r="L502">
        <v>10</v>
      </c>
      <c r="M502">
        <v>13862.56</v>
      </c>
      <c r="N502">
        <v>10958.76</v>
      </c>
      <c r="O502">
        <v>2903.8</v>
      </c>
      <c r="P502" t="s">
        <v>73</v>
      </c>
      <c r="Q502">
        <v>1.6</v>
      </c>
      <c r="R502" t="s">
        <v>30</v>
      </c>
      <c r="S502" t="s">
        <v>42</v>
      </c>
      <c r="T502">
        <v>2024</v>
      </c>
    </row>
    <row r="503" spans="1:20" x14ac:dyDescent="0.3">
      <c r="A503" t="s">
        <v>911</v>
      </c>
      <c r="B503" t="s">
        <v>21</v>
      </c>
      <c r="C503" t="s">
        <v>80</v>
      </c>
      <c r="D503" t="s">
        <v>23</v>
      </c>
      <c r="E503" t="s">
        <v>24</v>
      </c>
      <c r="F503" t="s">
        <v>45</v>
      </c>
      <c r="G503" t="s">
        <v>105</v>
      </c>
      <c r="H503" t="s">
        <v>47</v>
      </c>
      <c r="I503" t="s">
        <v>169</v>
      </c>
      <c r="J503">
        <v>4</v>
      </c>
      <c r="K503">
        <v>35911.22</v>
      </c>
      <c r="L503">
        <v>25</v>
      </c>
      <c r="M503">
        <v>143644.88</v>
      </c>
      <c r="N503">
        <v>116138.13</v>
      </c>
      <c r="O503">
        <v>27506.75</v>
      </c>
      <c r="P503" t="s">
        <v>122</v>
      </c>
      <c r="Q503">
        <v>4.0999999999999996</v>
      </c>
      <c r="R503" t="s">
        <v>30</v>
      </c>
      <c r="S503" t="s">
        <v>31</v>
      </c>
      <c r="T503">
        <v>2024</v>
      </c>
    </row>
    <row r="504" spans="1:20" x14ac:dyDescent="0.3">
      <c r="A504" t="s">
        <v>912</v>
      </c>
      <c r="B504" t="s">
        <v>545</v>
      </c>
      <c r="C504" t="s">
        <v>80</v>
      </c>
      <c r="D504" t="s">
        <v>125</v>
      </c>
      <c r="E504" t="s">
        <v>139</v>
      </c>
      <c r="F504" t="s">
        <v>37</v>
      </c>
      <c r="G504" t="s">
        <v>38</v>
      </c>
      <c r="H504" t="s">
        <v>86</v>
      </c>
      <c r="I504" t="s">
        <v>40</v>
      </c>
      <c r="J504">
        <v>3</v>
      </c>
      <c r="K504">
        <v>16523.689999999999</v>
      </c>
      <c r="L504">
        <v>30</v>
      </c>
      <c r="M504">
        <v>49571.07</v>
      </c>
      <c r="N504">
        <v>34718.33</v>
      </c>
      <c r="O504">
        <v>14852.74</v>
      </c>
      <c r="P504" t="s">
        <v>122</v>
      </c>
      <c r="Q504">
        <v>2.8</v>
      </c>
      <c r="R504" t="s">
        <v>30</v>
      </c>
      <c r="S504" t="s">
        <v>162</v>
      </c>
      <c r="T504">
        <v>2024</v>
      </c>
    </row>
    <row r="505" spans="1:20" x14ac:dyDescent="0.3">
      <c r="A505" t="s">
        <v>913</v>
      </c>
      <c r="B505" t="s">
        <v>372</v>
      </c>
      <c r="C505" t="s">
        <v>61</v>
      </c>
      <c r="D505" t="s">
        <v>35</v>
      </c>
      <c r="E505" t="s">
        <v>36</v>
      </c>
      <c r="F505" t="s">
        <v>45</v>
      </c>
      <c r="G505" t="s">
        <v>105</v>
      </c>
      <c r="H505" t="s">
        <v>106</v>
      </c>
      <c r="I505" t="s">
        <v>101</v>
      </c>
      <c r="J505">
        <v>5</v>
      </c>
      <c r="K505">
        <v>6566.03</v>
      </c>
      <c r="L505">
        <v>20</v>
      </c>
      <c r="M505">
        <v>32830.15</v>
      </c>
      <c r="N505">
        <v>22432.71</v>
      </c>
      <c r="O505">
        <v>10397.44</v>
      </c>
      <c r="P505" t="s">
        <v>113</v>
      </c>
      <c r="Q505">
        <v>2.6</v>
      </c>
      <c r="R505" t="s">
        <v>30</v>
      </c>
      <c r="S505" t="s">
        <v>107</v>
      </c>
      <c r="T505">
        <v>2024</v>
      </c>
    </row>
    <row r="506" spans="1:20" x14ac:dyDescent="0.3">
      <c r="A506" t="s">
        <v>914</v>
      </c>
      <c r="B506" t="s">
        <v>556</v>
      </c>
      <c r="C506" t="s">
        <v>136</v>
      </c>
      <c r="D506" t="s">
        <v>23</v>
      </c>
      <c r="E506" t="s">
        <v>24</v>
      </c>
      <c r="F506" t="s">
        <v>62</v>
      </c>
      <c r="G506" t="s">
        <v>63</v>
      </c>
      <c r="H506" t="s">
        <v>152</v>
      </c>
      <c r="I506" t="s">
        <v>165</v>
      </c>
      <c r="J506">
        <v>3</v>
      </c>
      <c r="K506">
        <v>18799.05</v>
      </c>
      <c r="L506">
        <v>15</v>
      </c>
      <c r="M506">
        <v>56397.15</v>
      </c>
      <c r="N506">
        <v>40856.42</v>
      </c>
      <c r="O506">
        <v>15540.73</v>
      </c>
      <c r="P506" t="s">
        <v>41</v>
      </c>
      <c r="Q506">
        <v>4.3</v>
      </c>
      <c r="R506" t="s">
        <v>30</v>
      </c>
      <c r="S506" t="s">
        <v>102</v>
      </c>
      <c r="T506">
        <v>2025</v>
      </c>
    </row>
    <row r="507" spans="1:20" x14ac:dyDescent="0.3">
      <c r="A507" t="s">
        <v>915</v>
      </c>
      <c r="B507" t="s">
        <v>104</v>
      </c>
      <c r="C507" t="s">
        <v>136</v>
      </c>
      <c r="D507" t="s">
        <v>132</v>
      </c>
      <c r="E507" t="s">
        <v>158</v>
      </c>
      <c r="F507" t="s">
        <v>54</v>
      </c>
      <c r="G507" t="s">
        <v>201</v>
      </c>
      <c r="H507" t="s">
        <v>91</v>
      </c>
      <c r="I507" t="s">
        <v>185</v>
      </c>
      <c r="J507">
        <v>5</v>
      </c>
      <c r="K507">
        <v>8436.7099999999991</v>
      </c>
      <c r="L507">
        <v>15</v>
      </c>
      <c r="M507">
        <v>42183.55</v>
      </c>
      <c r="N507">
        <v>29327.66</v>
      </c>
      <c r="O507">
        <v>12855.89</v>
      </c>
      <c r="P507" t="s">
        <v>73</v>
      </c>
      <c r="Q507">
        <v>4.9000000000000004</v>
      </c>
      <c r="R507" t="s">
        <v>30</v>
      </c>
      <c r="S507" t="s">
        <v>107</v>
      </c>
      <c r="T507">
        <v>2024</v>
      </c>
    </row>
    <row r="508" spans="1:20" x14ac:dyDescent="0.3">
      <c r="A508" t="s">
        <v>916</v>
      </c>
      <c r="B508" t="s">
        <v>148</v>
      </c>
      <c r="C508" t="s">
        <v>61</v>
      </c>
      <c r="D508" t="s">
        <v>35</v>
      </c>
      <c r="E508" t="s">
        <v>36</v>
      </c>
      <c r="F508" t="s">
        <v>62</v>
      </c>
      <c r="G508" t="s">
        <v>63</v>
      </c>
      <c r="H508" t="s">
        <v>64</v>
      </c>
      <c r="I508" t="s">
        <v>65</v>
      </c>
      <c r="J508">
        <v>4</v>
      </c>
      <c r="K508">
        <v>19380.5</v>
      </c>
      <c r="L508">
        <v>30</v>
      </c>
      <c r="M508">
        <v>77522</v>
      </c>
      <c r="N508">
        <v>63810.28</v>
      </c>
      <c r="O508">
        <v>13711.72</v>
      </c>
      <c r="P508" t="s">
        <v>41</v>
      </c>
      <c r="Q508">
        <v>3.3</v>
      </c>
      <c r="R508" t="s">
        <v>30</v>
      </c>
      <c r="S508" t="s">
        <v>119</v>
      </c>
      <c r="T508">
        <v>2024</v>
      </c>
    </row>
    <row r="509" spans="1:20" x14ac:dyDescent="0.3">
      <c r="A509" t="s">
        <v>917</v>
      </c>
      <c r="B509" t="s">
        <v>556</v>
      </c>
      <c r="C509" t="s">
        <v>22</v>
      </c>
      <c r="D509" t="s">
        <v>81</v>
      </c>
      <c r="E509" t="s">
        <v>128</v>
      </c>
      <c r="F509" t="s">
        <v>45</v>
      </c>
      <c r="G509" t="s">
        <v>105</v>
      </c>
      <c r="H509" t="s">
        <v>106</v>
      </c>
      <c r="I509" t="s">
        <v>48</v>
      </c>
      <c r="J509">
        <v>3</v>
      </c>
      <c r="K509">
        <v>20228.05</v>
      </c>
      <c r="L509">
        <v>10</v>
      </c>
      <c r="M509">
        <v>60684.15</v>
      </c>
      <c r="N509">
        <v>40964.93</v>
      </c>
      <c r="O509">
        <v>19719.22</v>
      </c>
      <c r="P509" t="s">
        <v>41</v>
      </c>
      <c r="Q509">
        <v>1.2</v>
      </c>
      <c r="R509" t="s">
        <v>30</v>
      </c>
      <c r="S509" t="s">
        <v>102</v>
      </c>
      <c r="T509">
        <v>2025</v>
      </c>
    </row>
    <row r="510" spans="1:20" x14ac:dyDescent="0.3">
      <c r="A510" t="s">
        <v>918</v>
      </c>
      <c r="B510" t="s">
        <v>571</v>
      </c>
      <c r="C510" t="s">
        <v>97</v>
      </c>
      <c r="D510" t="s">
        <v>81</v>
      </c>
      <c r="E510" t="s">
        <v>82</v>
      </c>
      <c r="F510" t="s">
        <v>54</v>
      </c>
      <c r="G510" t="s">
        <v>55</v>
      </c>
      <c r="H510" t="s">
        <v>179</v>
      </c>
      <c r="I510" t="s">
        <v>185</v>
      </c>
      <c r="J510">
        <v>5</v>
      </c>
      <c r="K510">
        <v>28606.86</v>
      </c>
      <c r="L510">
        <v>5</v>
      </c>
      <c r="M510">
        <v>143034.29999999999</v>
      </c>
      <c r="N510">
        <v>115262.02</v>
      </c>
      <c r="O510">
        <v>27772.28</v>
      </c>
      <c r="P510" t="s">
        <v>41</v>
      </c>
      <c r="Q510">
        <v>4.8</v>
      </c>
      <c r="R510" t="s">
        <v>30</v>
      </c>
      <c r="S510" t="s">
        <v>162</v>
      </c>
      <c r="T510">
        <v>2024</v>
      </c>
    </row>
    <row r="511" spans="1:20" x14ac:dyDescent="0.3">
      <c r="A511" t="s">
        <v>919</v>
      </c>
      <c r="B511" t="s">
        <v>725</v>
      </c>
      <c r="C511" t="s">
        <v>136</v>
      </c>
      <c r="D511" t="s">
        <v>132</v>
      </c>
      <c r="E511" t="s">
        <v>158</v>
      </c>
      <c r="F511" t="s">
        <v>25</v>
      </c>
      <c r="G511" t="s">
        <v>111</v>
      </c>
      <c r="H511" t="s">
        <v>221</v>
      </c>
      <c r="I511" t="s">
        <v>28</v>
      </c>
      <c r="J511">
        <v>4</v>
      </c>
      <c r="K511">
        <v>16803.759999999998</v>
      </c>
      <c r="L511">
        <v>20</v>
      </c>
      <c r="M511">
        <v>67215.039999999994</v>
      </c>
      <c r="N511">
        <v>49120.43</v>
      </c>
      <c r="O511">
        <v>18094.61</v>
      </c>
      <c r="P511" t="s">
        <v>73</v>
      </c>
      <c r="Q511">
        <v>4</v>
      </c>
      <c r="R511" t="s">
        <v>66</v>
      </c>
      <c r="S511" t="s">
        <v>49</v>
      </c>
      <c r="T511">
        <v>2024</v>
      </c>
    </row>
    <row r="512" spans="1:20" x14ac:dyDescent="0.3">
      <c r="A512" t="s">
        <v>920</v>
      </c>
      <c r="B512" t="s">
        <v>921</v>
      </c>
      <c r="C512" t="s">
        <v>97</v>
      </c>
      <c r="D512" t="s">
        <v>23</v>
      </c>
      <c r="E512" t="s">
        <v>24</v>
      </c>
      <c r="F512" t="s">
        <v>45</v>
      </c>
      <c r="G512" t="s">
        <v>105</v>
      </c>
      <c r="H512" t="s">
        <v>47</v>
      </c>
      <c r="I512" t="s">
        <v>169</v>
      </c>
      <c r="J512">
        <v>5</v>
      </c>
      <c r="K512">
        <v>18093.34</v>
      </c>
      <c r="L512">
        <v>5</v>
      </c>
      <c r="M512">
        <v>90466.7</v>
      </c>
      <c r="N512">
        <v>64446.39</v>
      </c>
      <c r="O512">
        <v>26020.31</v>
      </c>
      <c r="P512" t="s">
        <v>122</v>
      </c>
      <c r="Q512">
        <v>4.2</v>
      </c>
      <c r="R512" t="s">
        <v>30</v>
      </c>
      <c r="S512" t="s">
        <v>87</v>
      </c>
      <c r="T512">
        <v>2025</v>
      </c>
    </row>
    <row r="513" spans="1:20" x14ac:dyDescent="0.3">
      <c r="A513" t="s">
        <v>922</v>
      </c>
      <c r="B513" t="s">
        <v>291</v>
      </c>
      <c r="C513" t="s">
        <v>80</v>
      </c>
      <c r="D513" t="s">
        <v>23</v>
      </c>
      <c r="E513" t="s">
        <v>24</v>
      </c>
      <c r="F513" t="s">
        <v>54</v>
      </c>
      <c r="G513" t="s">
        <v>201</v>
      </c>
      <c r="H513" t="s">
        <v>92</v>
      </c>
      <c r="I513" t="s">
        <v>180</v>
      </c>
      <c r="J513">
        <v>5</v>
      </c>
      <c r="K513">
        <v>31737.13</v>
      </c>
      <c r="L513">
        <v>15</v>
      </c>
      <c r="M513">
        <v>158685.65</v>
      </c>
      <c r="N513">
        <v>107552.66</v>
      </c>
      <c r="O513">
        <v>51132.99</v>
      </c>
      <c r="P513" t="s">
        <v>144</v>
      </c>
      <c r="Q513">
        <v>4</v>
      </c>
      <c r="R513" t="s">
        <v>30</v>
      </c>
      <c r="S513" t="s">
        <v>107</v>
      </c>
      <c r="T513">
        <v>2024</v>
      </c>
    </row>
    <row r="514" spans="1:20" x14ac:dyDescent="0.3">
      <c r="A514" t="s">
        <v>923</v>
      </c>
      <c r="B514" t="s">
        <v>295</v>
      </c>
      <c r="C514" t="s">
        <v>200</v>
      </c>
      <c r="D514" t="s">
        <v>81</v>
      </c>
      <c r="E514" t="s">
        <v>82</v>
      </c>
      <c r="F514" t="s">
        <v>45</v>
      </c>
      <c r="G514" t="s">
        <v>46</v>
      </c>
      <c r="H514" t="s">
        <v>106</v>
      </c>
      <c r="I514" t="s">
        <v>48</v>
      </c>
      <c r="J514">
        <v>3</v>
      </c>
      <c r="K514">
        <v>49861.17</v>
      </c>
      <c r="L514">
        <v>15</v>
      </c>
      <c r="M514">
        <v>149583.51</v>
      </c>
      <c r="N514">
        <v>120169.12</v>
      </c>
      <c r="O514">
        <v>29414.39</v>
      </c>
      <c r="P514" t="s">
        <v>41</v>
      </c>
      <c r="Q514">
        <v>2.5</v>
      </c>
      <c r="R514" t="s">
        <v>30</v>
      </c>
      <c r="S514" t="s">
        <v>31</v>
      </c>
      <c r="T514">
        <v>2024</v>
      </c>
    </row>
    <row r="515" spans="1:20" x14ac:dyDescent="0.3">
      <c r="A515" t="s">
        <v>924</v>
      </c>
      <c r="B515" t="s">
        <v>495</v>
      </c>
      <c r="C515" t="s">
        <v>136</v>
      </c>
      <c r="D515" t="s">
        <v>23</v>
      </c>
      <c r="E515" t="s">
        <v>24</v>
      </c>
      <c r="F515" t="s">
        <v>25</v>
      </c>
      <c r="G515" t="s">
        <v>26</v>
      </c>
      <c r="H515" t="s">
        <v>27</v>
      </c>
      <c r="I515" t="s">
        <v>28</v>
      </c>
      <c r="J515">
        <v>1</v>
      </c>
      <c r="K515">
        <v>21233.35</v>
      </c>
      <c r="L515">
        <v>20</v>
      </c>
      <c r="M515">
        <v>21233.35</v>
      </c>
      <c r="N515">
        <v>17342.8</v>
      </c>
      <c r="O515">
        <v>3890.55</v>
      </c>
      <c r="P515" t="s">
        <v>113</v>
      </c>
      <c r="Q515">
        <v>1.7</v>
      </c>
      <c r="R515" t="s">
        <v>159</v>
      </c>
      <c r="S515" t="s">
        <v>31</v>
      </c>
      <c r="T515">
        <v>2024</v>
      </c>
    </row>
    <row r="516" spans="1:20" x14ac:dyDescent="0.3">
      <c r="A516" t="s">
        <v>925</v>
      </c>
      <c r="B516" t="s">
        <v>275</v>
      </c>
      <c r="C516" t="s">
        <v>90</v>
      </c>
      <c r="D516" t="s">
        <v>35</v>
      </c>
      <c r="E516" t="s">
        <v>36</v>
      </c>
      <c r="F516" t="s">
        <v>62</v>
      </c>
      <c r="G516" t="s">
        <v>63</v>
      </c>
      <c r="H516" t="s">
        <v>271</v>
      </c>
      <c r="I516" t="s">
        <v>65</v>
      </c>
      <c r="J516">
        <v>5</v>
      </c>
      <c r="K516">
        <v>776.91</v>
      </c>
      <c r="L516">
        <v>25</v>
      </c>
      <c r="M516">
        <v>3884.55</v>
      </c>
      <c r="N516">
        <v>3157.13</v>
      </c>
      <c r="O516">
        <v>727.42</v>
      </c>
      <c r="P516" t="s">
        <v>113</v>
      </c>
      <c r="Q516">
        <v>4.2</v>
      </c>
      <c r="R516" t="s">
        <v>159</v>
      </c>
      <c r="S516" t="s">
        <v>78</v>
      </c>
      <c r="T516">
        <v>2024</v>
      </c>
    </row>
    <row r="517" spans="1:20" x14ac:dyDescent="0.3">
      <c r="A517" t="s">
        <v>926</v>
      </c>
      <c r="B517" t="s">
        <v>203</v>
      </c>
      <c r="C517" t="s">
        <v>80</v>
      </c>
      <c r="D517" t="s">
        <v>125</v>
      </c>
      <c r="E517" t="s">
        <v>126</v>
      </c>
      <c r="F517" t="s">
        <v>45</v>
      </c>
      <c r="G517" t="s">
        <v>46</v>
      </c>
      <c r="H517" t="s">
        <v>106</v>
      </c>
      <c r="I517" t="s">
        <v>101</v>
      </c>
      <c r="J517">
        <v>1</v>
      </c>
      <c r="K517">
        <v>25542.71</v>
      </c>
      <c r="L517">
        <v>10</v>
      </c>
      <c r="M517">
        <v>25542.71</v>
      </c>
      <c r="N517">
        <v>21587.27</v>
      </c>
      <c r="O517">
        <v>3955.44</v>
      </c>
      <c r="P517" t="s">
        <v>41</v>
      </c>
      <c r="Q517">
        <v>2.2000000000000002</v>
      </c>
      <c r="R517" t="s">
        <v>30</v>
      </c>
      <c r="S517" t="s">
        <v>42</v>
      </c>
      <c r="T517">
        <v>2024</v>
      </c>
    </row>
    <row r="518" spans="1:20" x14ac:dyDescent="0.3">
      <c r="A518" t="s">
        <v>927</v>
      </c>
      <c r="B518" t="s">
        <v>440</v>
      </c>
      <c r="C518" t="s">
        <v>116</v>
      </c>
      <c r="D518" t="s">
        <v>35</v>
      </c>
      <c r="E518" t="s">
        <v>36</v>
      </c>
      <c r="F518" t="s">
        <v>37</v>
      </c>
      <c r="G518" t="s">
        <v>38</v>
      </c>
      <c r="H518" t="s">
        <v>77</v>
      </c>
      <c r="I518" t="s">
        <v>40</v>
      </c>
      <c r="J518">
        <v>5</v>
      </c>
      <c r="K518">
        <v>10818.28</v>
      </c>
      <c r="L518">
        <v>5</v>
      </c>
      <c r="M518">
        <v>54091.4</v>
      </c>
      <c r="N518">
        <v>42526.32</v>
      </c>
      <c r="O518">
        <v>11565.08</v>
      </c>
      <c r="P518" t="s">
        <v>41</v>
      </c>
      <c r="Q518">
        <v>1.6</v>
      </c>
      <c r="R518" t="s">
        <v>30</v>
      </c>
      <c r="S518" t="s">
        <v>78</v>
      </c>
      <c r="T518">
        <v>2024</v>
      </c>
    </row>
    <row r="519" spans="1:20" x14ac:dyDescent="0.3">
      <c r="A519" t="s">
        <v>928</v>
      </c>
      <c r="B519" t="s">
        <v>482</v>
      </c>
      <c r="C519" t="s">
        <v>97</v>
      </c>
      <c r="D519" t="s">
        <v>125</v>
      </c>
      <c r="E519" t="s">
        <v>126</v>
      </c>
      <c r="F519" t="s">
        <v>54</v>
      </c>
      <c r="G519" t="s">
        <v>91</v>
      </c>
      <c r="H519" t="s">
        <v>92</v>
      </c>
      <c r="I519" t="s">
        <v>118</v>
      </c>
      <c r="J519">
        <v>5</v>
      </c>
      <c r="K519">
        <v>45801.19</v>
      </c>
      <c r="L519">
        <v>15</v>
      </c>
      <c r="M519">
        <v>229005.95</v>
      </c>
      <c r="N519">
        <v>152628.04</v>
      </c>
      <c r="O519">
        <v>76377.91</v>
      </c>
      <c r="P519" t="s">
        <v>122</v>
      </c>
      <c r="Q519">
        <v>2.4</v>
      </c>
      <c r="R519" t="s">
        <v>30</v>
      </c>
      <c r="S519" t="s">
        <v>74</v>
      </c>
      <c r="T519">
        <v>2024</v>
      </c>
    </row>
    <row r="520" spans="1:20" x14ac:dyDescent="0.3">
      <c r="A520" t="s">
        <v>929</v>
      </c>
      <c r="B520" t="s">
        <v>313</v>
      </c>
      <c r="C520" t="s">
        <v>34</v>
      </c>
      <c r="D520" t="s">
        <v>52</v>
      </c>
      <c r="E520" t="s">
        <v>53</v>
      </c>
      <c r="F520" t="s">
        <v>45</v>
      </c>
      <c r="G520" t="s">
        <v>105</v>
      </c>
      <c r="H520" t="s">
        <v>47</v>
      </c>
      <c r="I520" t="s">
        <v>101</v>
      </c>
      <c r="J520">
        <v>2</v>
      </c>
      <c r="K520">
        <v>6963.56</v>
      </c>
      <c r="L520">
        <v>25</v>
      </c>
      <c r="M520">
        <v>13927.12</v>
      </c>
      <c r="N520">
        <v>10864.66</v>
      </c>
      <c r="O520">
        <v>3062.46</v>
      </c>
      <c r="P520" t="s">
        <v>29</v>
      </c>
      <c r="Q520">
        <v>3.3</v>
      </c>
      <c r="R520" t="s">
        <v>30</v>
      </c>
      <c r="S520" t="s">
        <v>42</v>
      </c>
      <c r="T520">
        <v>2024</v>
      </c>
    </row>
    <row r="521" spans="1:20" x14ac:dyDescent="0.3">
      <c r="A521" t="s">
        <v>930</v>
      </c>
      <c r="B521" t="s">
        <v>745</v>
      </c>
      <c r="C521" t="s">
        <v>97</v>
      </c>
      <c r="D521" t="s">
        <v>132</v>
      </c>
      <c r="E521" t="s">
        <v>133</v>
      </c>
      <c r="F521" t="s">
        <v>54</v>
      </c>
      <c r="G521" t="s">
        <v>55</v>
      </c>
      <c r="H521" t="s">
        <v>117</v>
      </c>
      <c r="I521" t="s">
        <v>296</v>
      </c>
      <c r="J521">
        <v>1</v>
      </c>
      <c r="K521">
        <v>37082.11</v>
      </c>
      <c r="L521">
        <v>5</v>
      </c>
      <c r="M521">
        <v>37082.11</v>
      </c>
      <c r="N521">
        <v>29476.68</v>
      </c>
      <c r="O521">
        <v>7605.43</v>
      </c>
      <c r="P521" t="s">
        <v>41</v>
      </c>
      <c r="Q521">
        <v>4.4000000000000004</v>
      </c>
      <c r="R521" t="s">
        <v>159</v>
      </c>
      <c r="S521" t="s">
        <v>119</v>
      </c>
      <c r="T521">
        <v>2024</v>
      </c>
    </row>
    <row r="522" spans="1:20" x14ac:dyDescent="0.3">
      <c r="A522" t="s">
        <v>931</v>
      </c>
      <c r="B522" t="s">
        <v>764</v>
      </c>
      <c r="C522" t="s">
        <v>61</v>
      </c>
      <c r="D522" t="s">
        <v>125</v>
      </c>
      <c r="E522" t="s">
        <v>126</v>
      </c>
      <c r="F522" t="s">
        <v>25</v>
      </c>
      <c r="G522" t="s">
        <v>111</v>
      </c>
      <c r="H522" t="s">
        <v>129</v>
      </c>
      <c r="I522" t="s">
        <v>28</v>
      </c>
      <c r="J522">
        <v>1</v>
      </c>
      <c r="K522">
        <v>6842.69</v>
      </c>
      <c r="L522">
        <v>5</v>
      </c>
      <c r="M522">
        <v>6842.69</v>
      </c>
      <c r="N522">
        <v>5701.18</v>
      </c>
      <c r="O522">
        <v>1141.51</v>
      </c>
      <c r="P522" t="s">
        <v>41</v>
      </c>
      <c r="Q522">
        <v>3.6</v>
      </c>
      <c r="R522" t="s">
        <v>30</v>
      </c>
      <c r="S522" t="s">
        <v>119</v>
      </c>
      <c r="T522">
        <v>2024</v>
      </c>
    </row>
    <row r="523" spans="1:20" x14ac:dyDescent="0.3">
      <c r="A523" t="s">
        <v>932</v>
      </c>
      <c r="B523" t="s">
        <v>255</v>
      </c>
      <c r="C523" t="s">
        <v>116</v>
      </c>
      <c r="D523" t="s">
        <v>125</v>
      </c>
      <c r="E523" t="s">
        <v>126</v>
      </c>
      <c r="F523" t="s">
        <v>45</v>
      </c>
      <c r="G523" t="s">
        <v>46</v>
      </c>
      <c r="H523" t="s">
        <v>100</v>
      </c>
      <c r="I523" t="s">
        <v>169</v>
      </c>
      <c r="J523">
        <v>1</v>
      </c>
      <c r="K523">
        <v>7283.96</v>
      </c>
      <c r="L523">
        <v>30</v>
      </c>
      <c r="M523">
        <v>7283.96</v>
      </c>
      <c r="N523">
        <v>6119.03</v>
      </c>
      <c r="O523">
        <v>1164.93</v>
      </c>
      <c r="P523" t="s">
        <v>113</v>
      </c>
      <c r="Q523">
        <v>2</v>
      </c>
      <c r="R523" t="s">
        <v>30</v>
      </c>
      <c r="S523" t="s">
        <v>107</v>
      </c>
      <c r="T523">
        <v>2024</v>
      </c>
    </row>
    <row r="524" spans="1:20" x14ac:dyDescent="0.3">
      <c r="A524" t="s">
        <v>933</v>
      </c>
      <c r="B524" t="s">
        <v>372</v>
      </c>
      <c r="C524" t="s">
        <v>116</v>
      </c>
      <c r="D524" t="s">
        <v>98</v>
      </c>
      <c r="E524" t="s">
        <v>99</v>
      </c>
      <c r="F524" t="s">
        <v>62</v>
      </c>
      <c r="G524" t="s">
        <v>71</v>
      </c>
      <c r="H524" t="s">
        <v>64</v>
      </c>
      <c r="I524" t="s">
        <v>65</v>
      </c>
      <c r="J524">
        <v>5</v>
      </c>
      <c r="K524">
        <v>218.58</v>
      </c>
      <c r="L524">
        <v>5</v>
      </c>
      <c r="M524">
        <v>1092.9000000000001</v>
      </c>
      <c r="N524">
        <v>800.8</v>
      </c>
      <c r="O524">
        <v>292.10000000000002</v>
      </c>
      <c r="P524" t="s">
        <v>73</v>
      </c>
      <c r="Q524">
        <v>4.8</v>
      </c>
      <c r="R524" t="s">
        <v>30</v>
      </c>
      <c r="S524" t="s">
        <v>107</v>
      </c>
      <c r="T524">
        <v>2024</v>
      </c>
    </row>
    <row r="525" spans="1:20" x14ac:dyDescent="0.3">
      <c r="A525" t="s">
        <v>934</v>
      </c>
      <c r="B525" t="s">
        <v>704</v>
      </c>
      <c r="C525" t="s">
        <v>61</v>
      </c>
      <c r="D525" t="s">
        <v>69</v>
      </c>
      <c r="E525" t="s">
        <v>70</v>
      </c>
      <c r="F525" t="s">
        <v>54</v>
      </c>
      <c r="G525" t="s">
        <v>201</v>
      </c>
      <c r="H525" t="s">
        <v>179</v>
      </c>
      <c r="I525" t="s">
        <v>93</v>
      </c>
      <c r="J525">
        <v>3</v>
      </c>
      <c r="K525">
        <v>38689.699999999997</v>
      </c>
      <c r="L525">
        <v>30</v>
      </c>
      <c r="M525">
        <v>116069.1</v>
      </c>
      <c r="N525">
        <v>75850.13</v>
      </c>
      <c r="O525">
        <v>40218.97</v>
      </c>
      <c r="P525" t="s">
        <v>29</v>
      </c>
      <c r="Q525">
        <v>1.9</v>
      </c>
      <c r="R525" t="s">
        <v>30</v>
      </c>
      <c r="S525" t="s">
        <v>31</v>
      </c>
      <c r="T525">
        <v>2024</v>
      </c>
    </row>
    <row r="526" spans="1:20" x14ac:dyDescent="0.3">
      <c r="A526" t="s">
        <v>935</v>
      </c>
      <c r="B526" t="s">
        <v>936</v>
      </c>
      <c r="C526" t="s">
        <v>90</v>
      </c>
      <c r="D526" t="s">
        <v>35</v>
      </c>
      <c r="E526" t="s">
        <v>36</v>
      </c>
      <c r="F526" t="s">
        <v>62</v>
      </c>
      <c r="G526" t="s">
        <v>71</v>
      </c>
      <c r="H526" t="s">
        <v>83</v>
      </c>
      <c r="I526" t="s">
        <v>143</v>
      </c>
      <c r="J526">
        <v>2</v>
      </c>
      <c r="K526">
        <v>8863.9699999999993</v>
      </c>
      <c r="L526">
        <v>25</v>
      </c>
      <c r="M526">
        <v>17727.939999999999</v>
      </c>
      <c r="N526">
        <v>13503.49</v>
      </c>
      <c r="O526">
        <v>4224.45</v>
      </c>
      <c r="P526" t="s">
        <v>41</v>
      </c>
      <c r="Q526">
        <v>4.5</v>
      </c>
      <c r="R526" t="s">
        <v>30</v>
      </c>
      <c r="S526" t="s">
        <v>31</v>
      </c>
      <c r="T526">
        <v>2024</v>
      </c>
    </row>
    <row r="527" spans="1:20" x14ac:dyDescent="0.3">
      <c r="A527" t="s">
        <v>937</v>
      </c>
      <c r="B527" t="s">
        <v>829</v>
      </c>
      <c r="C527" t="s">
        <v>97</v>
      </c>
      <c r="D527" t="s">
        <v>81</v>
      </c>
      <c r="E527" t="s">
        <v>128</v>
      </c>
      <c r="F527" t="s">
        <v>37</v>
      </c>
      <c r="G527" t="s">
        <v>38</v>
      </c>
      <c r="H527" t="s">
        <v>77</v>
      </c>
      <c r="I527" t="s">
        <v>40</v>
      </c>
      <c r="J527">
        <v>5</v>
      </c>
      <c r="K527">
        <v>12472.17</v>
      </c>
      <c r="L527">
        <v>20</v>
      </c>
      <c r="M527">
        <v>62360.85</v>
      </c>
      <c r="N527">
        <v>47261.05</v>
      </c>
      <c r="O527">
        <v>15099.8</v>
      </c>
      <c r="P527" t="s">
        <v>41</v>
      </c>
      <c r="Q527">
        <v>1.9</v>
      </c>
      <c r="R527" t="s">
        <v>30</v>
      </c>
      <c r="S527" t="s">
        <v>107</v>
      </c>
      <c r="T527">
        <v>2024</v>
      </c>
    </row>
    <row r="528" spans="1:20" x14ac:dyDescent="0.3">
      <c r="A528" t="s">
        <v>938</v>
      </c>
      <c r="B528" t="s">
        <v>194</v>
      </c>
      <c r="C528" t="s">
        <v>80</v>
      </c>
      <c r="D528" t="s">
        <v>23</v>
      </c>
      <c r="E528" t="s">
        <v>24</v>
      </c>
      <c r="F528" t="s">
        <v>37</v>
      </c>
      <c r="G528" t="s">
        <v>38</v>
      </c>
      <c r="H528" t="s">
        <v>39</v>
      </c>
      <c r="I528" t="s">
        <v>40</v>
      </c>
      <c r="J528">
        <v>1</v>
      </c>
      <c r="K528">
        <v>8734.44</v>
      </c>
      <c r="L528">
        <v>10</v>
      </c>
      <c r="M528">
        <v>8734.44</v>
      </c>
      <c r="N528">
        <v>6756.02</v>
      </c>
      <c r="O528">
        <v>1978.42</v>
      </c>
      <c r="P528" t="s">
        <v>29</v>
      </c>
      <c r="Q528">
        <v>2.5</v>
      </c>
      <c r="R528" t="s">
        <v>30</v>
      </c>
      <c r="S528" t="s">
        <v>74</v>
      </c>
      <c r="T528">
        <v>2024</v>
      </c>
    </row>
    <row r="529" spans="1:20" x14ac:dyDescent="0.3">
      <c r="A529" t="s">
        <v>939</v>
      </c>
      <c r="B529" t="s">
        <v>475</v>
      </c>
      <c r="C529" t="s">
        <v>34</v>
      </c>
      <c r="D529" t="s">
        <v>125</v>
      </c>
      <c r="E529" t="s">
        <v>126</v>
      </c>
      <c r="F529" t="s">
        <v>45</v>
      </c>
      <c r="G529" t="s">
        <v>46</v>
      </c>
      <c r="H529" t="s">
        <v>100</v>
      </c>
      <c r="I529" t="s">
        <v>169</v>
      </c>
      <c r="J529">
        <v>5</v>
      </c>
      <c r="K529">
        <v>32422.04</v>
      </c>
      <c r="L529">
        <v>30</v>
      </c>
      <c r="M529">
        <v>162110.20000000001</v>
      </c>
      <c r="N529">
        <v>114322.13</v>
      </c>
      <c r="O529">
        <v>47788.07</v>
      </c>
      <c r="P529" t="s">
        <v>144</v>
      </c>
      <c r="Q529">
        <v>1.9</v>
      </c>
      <c r="R529" t="s">
        <v>30</v>
      </c>
      <c r="S529" t="s">
        <v>102</v>
      </c>
      <c r="T529">
        <v>2024</v>
      </c>
    </row>
    <row r="530" spans="1:20" x14ac:dyDescent="0.3">
      <c r="A530" t="s">
        <v>940</v>
      </c>
      <c r="B530" t="s">
        <v>257</v>
      </c>
      <c r="C530" t="s">
        <v>61</v>
      </c>
      <c r="D530" t="s">
        <v>35</v>
      </c>
      <c r="E530" t="s">
        <v>36</v>
      </c>
      <c r="F530" t="s">
        <v>54</v>
      </c>
      <c r="G530" t="s">
        <v>228</v>
      </c>
      <c r="H530" t="s">
        <v>179</v>
      </c>
      <c r="I530" t="s">
        <v>185</v>
      </c>
      <c r="J530">
        <v>5</v>
      </c>
      <c r="K530">
        <v>45532.34</v>
      </c>
      <c r="L530">
        <v>10</v>
      </c>
      <c r="M530">
        <v>227661.7</v>
      </c>
      <c r="N530">
        <v>184281.19</v>
      </c>
      <c r="O530">
        <v>43380.51</v>
      </c>
      <c r="P530" t="s">
        <v>122</v>
      </c>
      <c r="Q530">
        <v>3.6</v>
      </c>
      <c r="R530" t="s">
        <v>30</v>
      </c>
      <c r="S530" t="s">
        <v>107</v>
      </c>
      <c r="T530">
        <v>2024</v>
      </c>
    </row>
    <row r="531" spans="1:20" x14ac:dyDescent="0.3">
      <c r="A531" t="s">
        <v>941</v>
      </c>
      <c r="B531" t="s">
        <v>237</v>
      </c>
      <c r="C531" t="s">
        <v>97</v>
      </c>
      <c r="D531" t="s">
        <v>81</v>
      </c>
      <c r="E531" t="s">
        <v>128</v>
      </c>
      <c r="F531" t="s">
        <v>45</v>
      </c>
      <c r="G531" t="s">
        <v>46</v>
      </c>
      <c r="H531" t="s">
        <v>47</v>
      </c>
      <c r="I531" t="s">
        <v>169</v>
      </c>
      <c r="J531">
        <v>4</v>
      </c>
      <c r="K531">
        <v>22534.799999999999</v>
      </c>
      <c r="L531">
        <v>10</v>
      </c>
      <c r="M531">
        <v>90139.199999999997</v>
      </c>
      <c r="N531">
        <v>74294.31</v>
      </c>
      <c r="O531">
        <v>15844.89</v>
      </c>
      <c r="P531" t="s">
        <v>113</v>
      </c>
      <c r="Q531">
        <v>1.4</v>
      </c>
      <c r="R531" t="s">
        <v>30</v>
      </c>
      <c r="S531" t="s">
        <v>162</v>
      </c>
      <c r="T531">
        <v>2024</v>
      </c>
    </row>
    <row r="532" spans="1:20" x14ac:dyDescent="0.3">
      <c r="A532" t="s">
        <v>942</v>
      </c>
      <c r="B532" t="s">
        <v>379</v>
      </c>
      <c r="C532" t="s">
        <v>97</v>
      </c>
      <c r="D532" t="s">
        <v>35</v>
      </c>
      <c r="E532" t="s">
        <v>36</v>
      </c>
      <c r="F532" t="s">
        <v>25</v>
      </c>
      <c r="G532" t="s">
        <v>26</v>
      </c>
      <c r="H532" t="s">
        <v>235</v>
      </c>
      <c r="I532" t="s">
        <v>28</v>
      </c>
      <c r="J532">
        <v>1</v>
      </c>
      <c r="K532">
        <v>26058.55</v>
      </c>
      <c r="L532">
        <v>25</v>
      </c>
      <c r="M532">
        <v>26058.55</v>
      </c>
      <c r="N532">
        <v>21228.68</v>
      </c>
      <c r="O532">
        <v>4829.87</v>
      </c>
      <c r="P532" t="s">
        <v>41</v>
      </c>
      <c r="Q532">
        <v>2</v>
      </c>
      <c r="R532" t="s">
        <v>30</v>
      </c>
      <c r="S532" t="s">
        <v>74</v>
      </c>
      <c r="T532">
        <v>2024</v>
      </c>
    </row>
    <row r="533" spans="1:20" x14ac:dyDescent="0.3">
      <c r="A533" t="s">
        <v>943</v>
      </c>
      <c r="B533" t="s">
        <v>781</v>
      </c>
      <c r="C533" t="s">
        <v>61</v>
      </c>
      <c r="D533" t="s">
        <v>35</v>
      </c>
      <c r="E533" t="s">
        <v>36</v>
      </c>
      <c r="F533" t="s">
        <v>62</v>
      </c>
      <c r="G533" t="s">
        <v>71</v>
      </c>
      <c r="H533" t="s">
        <v>152</v>
      </c>
      <c r="I533" t="s">
        <v>143</v>
      </c>
      <c r="J533">
        <v>2</v>
      </c>
      <c r="K533">
        <v>13348.84</v>
      </c>
      <c r="L533">
        <v>5</v>
      </c>
      <c r="M533">
        <v>26697.68</v>
      </c>
      <c r="N533">
        <v>20418.29</v>
      </c>
      <c r="O533">
        <v>6279.39</v>
      </c>
      <c r="P533" t="s">
        <v>113</v>
      </c>
      <c r="Q533">
        <v>4.2</v>
      </c>
      <c r="R533" t="s">
        <v>30</v>
      </c>
      <c r="S533" t="s">
        <v>78</v>
      </c>
      <c r="T533">
        <v>2024</v>
      </c>
    </row>
    <row r="534" spans="1:20" x14ac:dyDescent="0.3">
      <c r="A534" t="s">
        <v>944</v>
      </c>
      <c r="B534" t="s">
        <v>549</v>
      </c>
      <c r="C534" t="s">
        <v>168</v>
      </c>
      <c r="D534" t="s">
        <v>132</v>
      </c>
      <c r="E534" t="s">
        <v>158</v>
      </c>
      <c r="F534" t="s">
        <v>62</v>
      </c>
      <c r="G534" t="s">
        <v>63</v>
      </c>
      <c r="H534" t="s">
        <v>83</v>
      </c>
      <c r="I534" t="s">
        <v>143</v>
      </c>
      <c r="J534">
        <v>1</v>
      </c>
      <c r="K534">
        <v>46792.3</v>
      </c>
      <c r="L534">
        <v>5</v>
      </c>
      <c r="M534">
        <v>46792.3</v>
      </c>
      <c r="N534">
        <v>33481.57</v>
      </c>
      <c r="O534">
        <v>13310.73</v>
      </c>
      <c r="P534" t="s">
        <v>122</v>
      </c>
      <c r="Q534">
        <v>4.9000000000000004</v>
      </c>
      <c r="R534" t="s">
        <v>30</v>
      </c>
      <c r="S534" t="s">
        <v>119</v>
      </c>
      <c r="T534">
        <v>2024</v>
      </c>
    </row>
    <row r="535" spans="1:20" x14ac:dyDescent="0.3">
      <c r="A535" t="s">
        <v>945</v>
      </c>
      <c r="B535" t="s">
        <v>747</v>
      </c>
      <c r="C535" t="s">
        <v>34</v>
      </c>
      <c r="D535" t="s">
        <v>69</v>
      </c>
      <c r="E535" t="s">
        <v>70</v>
      </c>
      <c r="F535" t="s">
        <v>62</v>
      </c>
      <c r="G535" t="s">
        <v>63</v>
      </c>
      <c r="H535" t="s">
        <v>271</v>
      </c>
      <c r="I535" t="s">
        <v>143</v>
      </c>
      <c r="J535">
        <v>4</v>
      </c>
      <c r="K535">
        <v>15764.25</v>
      </c>
      <c r="L535">
        <v>30</v>
      </c>
      <c r="M535">
        <v>63057</v>
      </c>
      <c r="N535">
        <v>52319.76</v>
      </c>
      <c r="O535">
        <v>10737.24</v>
      </c>
      <c r="P535" t="s">
        <v>113</v>
      </c>
      <c r="Q535">
        <v>4</v>
      </c>
      <c r="R535" t="s">
        <v>30</v>
      </c>
      <c r="S535" t="s">
        <v>49</v>
      </c>
      <c r="T535">
        <v>2024</v>
      </c>
    </row>
    <row r="536" spans="1:20" x14ac:dyDescent="0.3">
      <c r="A536" t="s">
        <v>946</v>
      </c>
      <c r="B536" t="s">
        <v>740</v>
      </c>
      <c r="C536" t="s">
        <v>168</v>
      </c>
      <c r="D536" t="s">
        <v>81</v>
      </c>
      <c r="E536" t="s">
        <v>82</v>
      </c>
      <c r="F536" t="s">
        <v>54</v>
      </c>
      <c r="G536" t="s">
        <v>91</v>
      </c>
      <c r="H536" t="s">
        <v>56</v>
      </c>
      <c r="I536" t="s">
        <v>118</v>
      </c>
      <c r="J536">
        <v>5</v>
      </c>
      <c r="K536">
        <v>45019</v>
      </c>
      <c r="L536">
        <v>15</v>
      </c>
      <c r="M536">
        <v>225095</v>
      </c>
      <c r="N536">
        <v>178546.17</v>
      </c>
      <c r="O536">
        <v>46548.83</v>
      </c>
      <c r="P536" t="s">
        <v>113</v>
      </c>
      <c r="Q536">
        <v>4.7</v>
      </c>
      <c r="R536" t="s">
        <v>30</v>
      </c>
      <c r="S536" t="s">
        <v>87</v>
      </c>
      <c r="T536">
        <v>2025</v>
      </c>
    </row>
    <row r="537" spans="1:20" x14ac:dyDescent="0.3">
      <c r="A537" t="s">
        <v>947</v>
      </c>
      <c r="B537" t="s">
        <v>331</v>
      </c>
      <c r="C537" t="s">
        <v>116</v>
      </c>
      <c r="D537" t="s">
        <v>98</v>
      </c>
      <c r="E537" t="s">
        <v>99</v>
      </c>
      <c r="F537" t="s">
        <v>37</v>
      </c>
      <c r="G537" t="s">
        <v>38</v>
      </c>
      <c r="H537" t="s">
        <v>327</v>
      </c>
      <c r="I537" t="s">
        <v>40</v>
      </c>
      <c r="J537">
        <v>4</v>
      </c>
      <c r="K537">
        <v>42794.400000000001</v>
      </c>
      <c r="L537">
        <v>5</v>
      </c>
      <c r="M537">
        <v>171177.60000000001</v>
      </c>
      <c r="N537">
        <v>124478.25</v>
      </c>
      <c r="O537">
        <v>46699.35</v>
      </c>
      <c r="P537" t="s">
        <v>113</v>
      </c>
      <c r="Q537">
        <v>4.5999999999999996</v>
      </c>
      <c r="R537" t="s">
        <v>30</v>
      </c>
      <c r="S537" t="s">
        <v>119</v>
      </c>
      <c r="T537">
        <v>2024</v>
      </c>
    </row>
    <row r="538" spans="1:20" x14ac:dyDescent="0.3">
      <c r="A538" t="s">
        <v>948</v>
      </c>
      <c r="B538" t="s">
        <v>784</v>
      </c>
      <c r="C538" t="s">
        <v>97</v>
      </c>
      <c r="D538" t="s">
        <v>69</v>
      </c>
      <c r="E538" t="s">
        <v>155</v>
      </c>
      <c r="F538" t="s">
        <v>25</v>
      </c>
      <c r="G538" t="s">
        <v>26</v>
      </c>
      <c r="H538" t="s">
        <v>27</v>
      </c>
      <c r="I538" t="s">
        <v>28</v>
      </c>
      <c r="J538">
        <v>1</v>
      </c>
      <c r="K538">
        <v>492.53</v>
      </c>
      <c r="L538">
        <v>15</v>
      </c>
      <c r="M538">
        <v>492.53</v>
      </c>
      <c r="N538">
        <v>413.73</v>
      </c>
      <c r="O538">
        <v>78.8</v>
      </c>
      <c r="P538" t="s">
        <v>122</v>
      </c>
      <c r="Q538">
        <v>4.4000000000000004</v>
      </c>
      <c r="R538" t="s">
        <v>159</v>
      </c>
      <c r="S538" t="s">
        <v>107</v>
      </c>
      <c r="T538">
        <v>2024</v>
      </c>
    </row>
    <row r="539" spans="1:20" x14ac:dyDescent="0.3">
      <c r="A539" t="s">
        <v>949</v>
      </c>
      <c r="B539" t="s">
        <v>241</v>
      </c>
      <c r="C539" t="s">
        <v>90</v>
      </c>
      <c r="D539" t="s">
        <v>125</v>
      </c>
      <c r="E539" t="s">
        <v>139</v>
      </c>
      <c r="F539" t="s">
        <v>62</v>
      </c>
      <c r="G539" t="s">
        <v>63</v>
      </c>
      <c r="H539" t="s">
        <v>271</v>
      </c>
      <c r="I539" t="s">
        <v>165</v>
      </c>
      <c r="J539">
        <v>4</v>
      </c>
      <c r="K539">
        <v>30721.51</v>
      </c>
      <c r="L539">
        <v>30</v>
      </c>
      <c r="M539">
        <v>122886.04</v>
      </c>
      <c r="N539">
        <v>81964.52</v>
      </c>
      <c r="O539">
        <v>40921.519999999997</v>
      </c>
      <c r="P539" t="s">
        <v>73</v>
      </c>
      <c r="Q539">
        <v>3.4</v>
      </c>
      <c r="R539" t="s">
        <v>30</v>
      </c>
      <c r="S539" t="s">
        <v>78</v>
      </c>
      <c r="T539">
        <v>2024</v>
      </c>
    </row>
    <row r="540" spans="1:20" x14ac:dyDescent="0.3">
      <c r="A540" t="s">
        <v>950</v>
      </c>
      <c r="B540" t="s">
        <v>860</v>
      </c>
      <c r="C540" t="s">
        <v>34</v>
      </c>
      <c r="D540" t="s">
        <v>132</v>
      </c>
      <c r="E540" t="s">
        <v>133</v>
      </c>
      <c r="F540" t="s">
        <v>62</v>
      </c>
      <c r="G540" t="s">
        <v>63</v>
      </c>
      <c r="H540" t="s">
        <v>64</v>
      </c>
      <c r="I540" t="s">
        <v>143</v>
      </c>
      <c r="J540">
        <v>3</v>
      </c>
      <c r="K540">
        <v>17162.64</v>
      </c>
      <c r="L540">
        <v>20</v>
      </c>
      <c r="M540">
        <v>51487.92</v>
      </c>
      <c r="N540">
        <v>34132.93</v>
      </c>
      <c r="O540">
        <v>17354.990000000002</v>
      </c>
      <c r="P540" t="s">
        <v>113</v>
      </c>
      <c r="Q540">
        <v>4.7</v>
      </c>
      <c r="R540" t="s">
        <v>159</v>
      </c>
      <c r="S540" t="s">
        <v>78</v>
      </c>
      <c r="T540">
        <v>2024</v>
      </c>
    </row>
    <row r="541" spans="1:20" x14ac:dyDescent="0.3">
      <c r="A541" t="s">
        <v>951</v>
      </c>
      <c r="B541" t="s">
        <v>255</v>
      </c>
      <c r="C541" t="s">
        <v>61</v>
      </c>
      <c r="D541" t="s">
        <v>132</v>
      </c>
      <c r="E541" t="s">
        <v>158</v>
      </c>
      <c r="F541" t="s">
        <v>25</v>
      </c>
      <c r="G541" t="s">
        <v>26</v>
      </c>
      <c r="H541" t="s">
        <v>129</v>
      </c>
      <c r="I541" t="s">
        <v>112</v>
      </c>
      <c r="J541">
        <v>3</v>
      </c>
      <c r="K541">
        <v>45888.54</v>
      </c>
      <c r="L541">
        <v>15</v>
      </c>
      <c r="M541">
        <v>137665.62</v>
      </c>
      <c r="N541">
        <v>93378.77</v>
      </c>
      <c r="O541">
        <v>44286.85</v>
      </c>
      <c r="P541" t="s">
        <v>122</v>
      </c>
      <c r="Q541">
        <v>2</v>
      </c>
      <c r="R541" t="s">
        <v>30</v>
      </c>
      <c r="S541" t="s">
        <v>107</v>
      </c>
      <c r="T541">
        <v>2024</v>
      </c>
    </row>
    <row r="542" spans="1:20" x14ac:dyDescent="0.3">
      <c r="A542" t="s">
        <v>952</v>
      </c>
      <c r="B542" t="s">
        <v>457</v>
      </c>
      <c r="C542" t="s">
        <v>34</v>
      </c>
      <c r="D542" t="s">
        <v>35</v>
      </c>
      <c r="E542" t="s">
        <v>36</v>
      </c>
      <c r="F542" t="s">
        <v>62</v>
      </c>
      <c r="G542" t="s">
        <v>71</v>
      </c>
      <c r="H542" t="s">
        <v>83</v>
      </c>
      <c r="I542" t="s">
        <v>65</v>
      </c>
      <c r="J542">
        <v>3</v>
      </c>
      <c r="K542">
        <v>49052.43</v>
      </c>
      <c r="L542">
        <v>15</v>
      </c>
      <c r="M542">
        <v>147157.29</v>
      </c>
      <c r="N542">
        <v>105160.76</v>
      </c>
      <c r="O542">
        <v>41996.53</v>
      </c>
      <c r="P542" t="s">
        <v>29</v>
      </c>
      <c r="Q542">
        <v>4.5</v>
      </c>
      <c r="R542" t="s">
        <v>30</v>
      </c>
      <c r="S542" t="s">
        <v>42</v>
      </c>
      <c r="T542">
        <v>2024</v>
      </c>
    </row>
    <row r="543" spans="1:20" x14ac:dyDescent="0.3">
      <c r="A543" t="s">
        <v>953</v>
      </c>
      <c r="B543" t="s">
        <v>124</v>
      </c>
      <c r="C543" t="s">
        <v>22</v>
      </c>
      <c r="D543" t="s">
        <v>125</v>
      </c>
      <c r="E543" t="s">
        <v>126</v>
      </c>
      <c r="F543" t="s">
        <v>62</v>
      </c>
      <c r="G543" t="s">
        <v>63</v>
      </c>
      <c r="H543" t="s">
        <v>271</v>
      </c>
      <c r="I543" t="s">
        <v>165</v>
      </c>
      <c r="J543">
        <v>1</v>
      </c>
      <c r="K543">
        <v>2435.9699999999998</v>
      </c>
      <c r="L543">
        <v>10</v>
      </c>
      <c r="M543">
        <v>2435.9699999999998</v>
      </c>
      <c r="N543">
        <v>2026.2</v>
      </c>
      <c r="O543">
        <v>409.77</v>
      </c>
      <c r="P543" t="s">
        <v>122</v>
      </c>
      <c r="Q543">
        <v>2.2999999999999998</v>
      </c>
      <c r="R543" t="s">
        <v>30</v>
      </c>
      <c r="S543" t="s">
        <v>94</v>
      </c>
      <c r="T543">
        <v>2024</v>
      </c>
    </row>
    <row r="544" spans="1:20" x14ac:dyDescent="0.3">
      <c r="A544" t="s">
        <v>954</v>
      </c>
      <c r="B544" t="s">
        <v>955</v>
      </c>
      <c r="C544" t="s">
        <v>61</v>
      </c>
      <c r="D544" t="s">
        <v>23</v>
      </c>
      <c r="E544" t="s">
        <v>24</v>
      </c>
      <c r="F544" t="s">
        <v>62</v>
      </c>
      <c r="G544" t="s">
        <v>63</v>
      </c>
      <c r="H544" t="s">
        <v>83</v>
      </c>
      <c r="I544" t="s">
        <v>165</v>
      </c>
      <c r="J544">
        <v>4</v>
      </c>
      <c r="K544">
        <v>48128.02</v>
      </c>
      <c r="L544">
        <v>20</v>
      </c>
      <c r="M544">
        <v>192512.08</v>
      </c>
      <c r="N544">
        <v>130984.25</v>
      </c>
      <c r="O544">
        <v>61527.83</v>
      </c>
      <c r="P544" t="s">
        <v>73</v>
      </c>
      <c r="Q544">
        <v>3.2</v>
      </c>
      <c r="R544" t="s">
        <v>30</v>
      </c>
      <c r="S544" t="s">
        <v>49</v>
      </c>
      <c r="T544">
        <v>2024</v>
      </c>
    </row>
    <row r="545" spans="1:20" x14ac:dyDescent="0.3">
      <c r="A545" t="s">
        <v>956</v>
      </c>
      <c r="B545" t="s">
        <v>957</v>
      </c>
      <c r="C545" t="s">
        <v>136</v>
      </c>
      <c r="D545" t="s">
        <v>98</v>
      </c>
      <c r="E545" t="s">
        <v>99</v>
      </c>
      <c r="F545" t="s">
        <v>45</v>
      </c>
      <c r="G545" t="s">
        <v>105</v>
      </c>
      <c r="H545" t="s">
        <v>100</v>
      </c>
      <c r="I545" t="s">
        <v>48</v>
      </c>
      <c r="J545">
        <v>5</v>
      </c>
      <c r="K545">
        <v>47111.56</v>
      </c>
      <c r="L545">
        <v>30</v>
      </c>
      <c r="M545">
        <v>235557.8</v>
      </c>
      <c r="N545">
        <v>169558.08</v>
      </c>
      <c r="O545">
        <v>65999.72</v>
      </c>
      <c r="P545" t="s">
        <v>41</v>
      </c>
      <c r="Q545">
        <v>2.9</v>
      </c>
      <c r="R545" t="s">
        <v>30</v>
      </c>
      <c r="S545" t="s">
        <v>107</v>
      </c>
      <c r="T545">
        <v>2024</v>
      </c>
    </row>
    <row r="546" spans="1:20" x14ac:dyDescent="0.3">
      <c r="A546" t="s">
        <v>958</v>
      </c>
      <c r="B546" t="s">
        <v>691</v>
      </c>
      <c r="C546" t="s">
        <v>90</v>
      </c>
      <c r="D546" t="s">
        <v>125</v>
      </c>
      <c r="E546" t="s">
        <v>126</v>
      </c>
      <c r="F546" t="s">
        <v>25</v>
      </c>
      <c r="G546" t="s">
        <v>111</v>
      </c>
      <c r="H546" t="s">
        <v>27</v>
      </c>
      <c r="I546" t="s">
        <v>112</v>
      </c>
      <c r="J546">
        <v>5</v>
      </c>
      <c r="K546">
        <v>8091.3</v>
      </c>
      <c r="L546">
        <v>30</v>
      </c>
      <c r="M546">
        <v>40456.5</v>
      </c>
      <c r="N546">
        <v>28421.39</v>
      </c>
      <c r="O546">
        <v>12035.11</v>
      </c>
      <c r="P546" t="s">
        <v>122</v>
      </c>
      <c r="Q546">
        <v>2</v>
      </c>
      <c r="R546" t="s">
        <v>30</v>
      </c>
      <c r="S546" t="s">
        <v>162</v>
      </c>
      <c r="T546">
        <v>2024</v>
      </c>
    </row>
    <row r="547" spans="1:20" x14ac:dyDescent="0.3">
      <c r="A547" t="s">
        <v>959</v>
      </c>
      <c r="B547" t="s">
        <v>33</v>
      </c>
      <c r="C547" t="s">
        <v>136</v>
      </c>
      <c r="D547" t="s">
        <v>125</v>
      </c>
      <c r="E547" t="s">
        <v>126</v>
      </c>
      <c r="F547" t="s">
        <v>62</v>
      </c>
      <c r="G547" t="s">
        <v>63</v>
      </c>
      <c r="H547" t="s">
        <v>152</v>
      </c>
      <c r="I547" t="s">
        <v>143</v>
      </c>
      <c r="J547">
        <v>5</v>
      </c>
      <c r="K547">
        <v>43217.1</v>
      </c>
      <c r="L547">
        <v>20</v>
      </c>
      <c r="M547">
        <v>216085.5</v>
      </c>
      <c r="N547">
        <v>175102.82</v>
      </c>
      <c r="O547">
        <v>40982.68</v>
      </c>
      <c r="P547" t="s">
        <v>29</v>
      </c>
      <c r="Q547">
        <v>2.6</v>
      </c>
      <c r="R547" t="s">
        <v>30</v>
      </c>
      <c r="S547" t="s">
        <v>42</v>
      </c>
      <c r="T547">
        <v>2024</v>
      </c>
    </row>
    <row r="548" spans="1:20" x14ac:dyDescent="0.3">
      <c r="A548" t="s">
        <v>960</v>
      </c>
      <c r="B548" t="s">
        <v>251</v>
      </c>
      <c r="C548" t="s">
        <v>200</v>
      </c>
      <c r="D548" t="s">
        <v>98</v>
      </c>
      <c r="E548" t="s">
        <v>99</v>
      </c>
      <c r="F548" t="s">
        <v>37</v>
      </c>
      <c r="G548" t="s">
        <v>38</v>
      </c>
      <c r="H548" t="s">
        <v>86</v>
      </c>
      <c r="I548" t="s">
        <v>40</v>
      </c>
      <c r="J548">
        <v>2</v>
      </c>
      <c r="K548">
        <v>35592.76</v>
      </c>
      <c r="L548">
        <v>20</v>
      </c>
      <c r="M548">
        <v>71185.52</v>
      </c>
      <c r="N548">
        <v>50493.47</v>
      </c>
      <c r="O548">
        <v>20692.05</v>
      </c>
      <c r="P548" t="s">
        <v>29</v>
      </c>
      <c r="Q548">
        <v>4.5999999999999996</v>
      </c>
      <c r="R548" t="s">
        <v>30</v>
      </c>
      <c r="S548" t="s">
        <v>49</v>
      </c>
      <c r="T548">
        <v>2024</v>
      </c>
    </row>
    <row r="549" spans="1:20" x14ac:dyDescent="0.3">
      <c r="A549" t="s">
        <v>961</v>
      </c>
      <c r="B549" t="s">
        <v>321</v>
      </c>
      <c r="C549" t="s">
        <v>34</v>
      </c>
      <c r="D549" t="s">
        <v>81</v>
      </c>
      <c r="E549" t="s">
        <v>149</v>
      </c>
      <c r="F549" t="s">
        <v>45</v>
      </c>
      <c r="G549" t="s">
        <v>105</v>
      </c>
      <c r="H549" t="s">
        <v>176</v>
      </c>
      <c r="I549" t="s">
        <v>101</v>
      </c>
      <c r="J549">
        <v>5</v>
      </c>
      <c r="K549">
        <v>9534.89</v>
      </c>
      <c r="L549">
        <v>30</v>
      </c>
      <c r="M549">
        <v>47674.45</v>
      </c>
      <c r="N549">
        <v>39932.69</v>
      </c>
      <c r="O549">
        <v>7741.76</v>
      </c>
      <c r="P549" t="s">
        <v>144</v>
      </c>
      <c r="Q549">
        <v>4.2</v>
      </c>
      <c r="R549" t="s">
        <v>30</v>
      </c>
      <c r="S549" t="s">
        <v>78</v>
      </c>
      <c r="T549">
        <v>2024</v>
      </c>
    </row>
    <row r="550" spans="1:20" x14ac:dyDescent="0.3">
      <c r="A550" t="s">
        <v>962</v>
      </c>
      <c r="B550" t="s">
        <v>605</v>
      </c>
      <c r="C550" t="s">
        <v>116</v>
      </c>
      <c r="D550" t="s">
        <v>132</v>
      </c>
      <c r="E550" t="s">
        <v>133</v>
      </c>
      <c r="F550" t="s">
        <v>45</v>
      </c>
      <c r="G550" t="s">
        <v>46</v>
      </c>
      <c r="H550" t="s">
        <v>188</v>
      </c>
      <c r="I550" t="s">
        <v>48</v>
      </c>
      <c r="J550">
        <v>4</v>
      </c>
      <c r="K550">
        <v>46990.87</v>
      </c>
      <c r="L550">
        <v>25</v>
      </c>
      <c r="M550">
        <v>187963.48</v>
      </c>
      <c r="N550">
        <v>133638.26999999999</v>
      </c>
      <c r="O550">
        <v>54325.21</v>
      </c>
      <c r="P550" t="s">
        <v>113</v>
      </c>
      <c r="Q550">
        <v>1.7</v>
      </c>
      <c r="R550" t="s">
        <v>30</v>
      </c>
      <c r="S550" t="s">
        <v>107</v>
      </c>
      <c r="T550">
        <v>2024</v>
      </c>
    </row>
    <row r="551" spans="1:20" x14ac:dyDescent="0.3">
      <c r="A551" t="s">
        <v>963</v>
      </c>
      <c r="B551" t="s">
        <v>964</v>
      </c>
      <c r="C551" t="s">
        <v>116</v>
      </c>
      <c r="D551" t="s">
        <v>98</v>
      </c>
      <c r="E551" t="s">
        <v>99</v>
      </c>
      <c r="F551" t="s">
        <v>62</v>
      </c>
      <c r="G551" t="s">
        <v>63</v>
      </c>
      <c r="H551" t="s">
        <v>83</v>
      </c>
      <c r="I551" t="s">
        <v>165</v>
      </c>
      <c r="J551">
        <v>5</v>
      </c>
      <c r="K551">
        <v>31137.03</v>
      </c>
      <c r="L551">
        <v>25</v>
      </c>
      <c r="M551">
        <v>155685.15</v>
      </c>
      <c r="N551">
        <v>111618.88</v>
      </c>
      <c r="O551">
        <v>44066.27</v>
      </c>
      <c r="P551" t="s">
        <v>122</v>
      </c>
      <c r="Q551">
        <v>2.6</v>
      </c>
      <c r="R551" t="s">
        <v>30</v>
      </c>
      <c r="S551" t="s">
        <v>42</v>
      </c>
      <c r="T551">
        <v>2024</v>
      </c>
    </row>
    <row r="552" spans="1:20" x14ac:dyDescent="0.3">
      <c r="A552" t="s">
        <v>965</v>
      </c>
      <c r="B552" t="s">
        <v>603</v>
      </c>
      <c r="C552" t="s">
        <v>61</v>
      </c>
      <c r="D552" t="s">
        <v>35</v>
      </c>
      <c r="E552" t="s">
        <v>36</v>
      </c>
      <c r="F552" t="s">
        <v>54</v>
      </c>
      <c r="G552" t="s">
        <v>201</v>
      </c>
      <c r="H552" t="s">
        <v>179</v>
      </c>
      <c r="I552" t="s">
        <v>296</v>
      </c>
      <c r="J552">
        <v>4</v>
      </c>
      <c r="K552">
        <v>35821.160000000003</v>
      </c>
      <c r="L552">
        <v>20</v>
      </c>
      <c r="M552">
        <v>143284.64000000001</v>
      </c>
      <c r="N552">
        <v>93896.51</v>
      </c>
      <c r="O552">
        <v>49388.13</v>
      </c>
      <c r="P552" t="s">
        <v>29</v>
      </c>
      <c r="Q552">
        <v>2.1</v>
      </c>
      <c r="R552" t="s">
        <v>30</v>
      </c>
      <c r="S552" t="s">
        <v>102</v>
      </c>
      <c r="T552">
        <v>2025</v>
      </c>
    </row>
    <row r="553" spans="1:20" x14ac:dyDescent="0.3">
      <c r="A553" t="s">
        <v>966</v>
      </c>
      <c r="B553" t="s">
        <v>251</v>
      </c>
      <c r="C553" t="s">
        <v>34</v>
      </c>
      <c r="D553" t="s">
        <v>125</v>
      </c>
      <c r="E553" t="s">
        <v>139</v>
      </c>
      <c r="F553" t="s">
        <v>45</v>
      </c>
      <c r="G553" t="s">
        <v>46</v>
      </c>
      <c r="H553" t="s">
        <v>188</v>
      </c>
      <c r="I553" t="s">
        <v>169</v>
      </c>
      <c r="J553">
        <v>5</v>
      </c>
      <c r="K553">
        <v>28156.95</v>
      </c>
      <c r="L553">
        <v>20</v>
      </c>
      <c r="M553">
        <v>140784.75</v>
      </c>
      <c r="N553">
        <v>109850.81</v>
      </c>
      <c r="O553">
        <v>30933.94</v>
      </c>
      <c r="P553" t="s">
        <v>41</v>
      </c>
      <c r="Q553">
        <v>2.7</v>
      </c>
      <c r="R553" t="s">
        <v>30</v>
      </c>
      <c r="S553" t="s">
        <v>49</v>
      </c>
      <c r="T553">
        <v>2024</v>
      </c>
    </row>
    <row r="554" spans="1:20" x14ac:dyDescent="0.3">
      <c r="A554" t="s">
        <v>967</v>
      </c>
      <c r="B554" t="s">
        <v>214</v>
      </c>
      <c r="C554" t="s">
        <v>80</v>
      </c>
      <c r="D554" t="s">
        <v>35</v>
      </c>
      <c r="E554" t="s">
        <v>36</v>
      </c>
      <c r="F554" t="s">
        <v>45</v>
      </c>
      <c r="G554" t="s">
        <v>46</v>
      </c>
      <c r="H554" t="s">
        <v>106</v>
      </c>
      <c r="I554" t="s">
        <v>101</v>
      </c>
      <c r="J554">
        <v>2</v>
      </c>
      <c r="K554">
        <v>9335.19</v>
      </c>
      <c r="L554">
        <v>15</v>
      </c>
      <c r="M554">
        <v>18670.38</v>
      </c>
      <c r="N554">
        <v>15608.02</v>
      </c>
      <c r="O554">
        <v>3062.36</v>
      </c>
      <c r="P554" t="s">
        <v>113</v>
      </c>
      <c r="Q554">
        <v>3.9</v>
      </c>
      <c r="R554" t="s">
        <v>30</v>
      </c>
      <c r="S554" t="s">
        <v>58</v>
      </c>
      <c r="T554">
        <v>2024</v>
      </c>
    </row>
    <row r="555" spans="1:20" x14ac:dyDescent="0.3">
      <c r="A555" t="s">
        <v>968</v>
      </c>
      <c r="B555" t="s">
        <v>969</v>
      </c>
      <c r="C555" t="s">
        <v>97</v>
      </c>
      <c r="D555" t="s">
        <v>98</v>
      </c>
      <c r="E555" t="s">
        <v>99</v>
      </c>
      <c r="F555" t="s">
        <v>37</v>
      </c>
      <c r="G555" t="s">
        <v>38</v>
      </c>
      <c r="H555" t="s">
        <v>140</v>
      </c>
      <c r="I555" t="s">
        <v>40</v>
      </c>
      <c r="J555">
        <v>2</v>
      </c>
      <c r="K555">
        <v>25114.77</v>
      </c>
      <c r="L555">
        <v>30</v>
      </c>
      <c r="M555">
        <v>50229.54</v>
      </c>
      <c r="N555">
        <v>34151.879999999997</v>
      </c>
      <c r="O555">
        <v>16077.66</v>
      </c>
      <c r="P555" t="s">
        <v>113</v>
      </c>
      <c r="Q555">
        <v>3.6</v>
      </c>
      <c r="R555" t="s">
        <v>30</v>
      </c>
      <c r="S555" t="s">
        <v>162</v>
      </c>
      <c r="T555">
        <v>2024</v>
      </c>
    </row>
    <row r="556" spans="1:20" x14ac:dyDescent="0.3">
      <c r="A556" t="s">
        <v>970</v>
      </c>
      <c r="B556" t="s">
        <v>214</v>
      </c>
      <c r="C556" t="s">
        <v>80</v>
      </c>
      <c r="D556" t="s">
        <v>69</v>
      </c>
      <c r="E556" t="s">
        <v>70</v>
      </c>
      <c r="F556" t="s">
        <v>45</v>
      </c>
      <c r="G556" t="s">
        <v>46</v>
      </c>
      <c r="H556" t="s">
        <v>106</v>
      </c>
      <c r="I556" t="s">
        <v>169</v>
      </c>
      <c r="J556">
        <v>3</v>
      </c>
      <c r="K556">
        <v>19961.03</v>
      </c>
      <c r="L556">
        <v>5</v>
      </c>
      <c r="M556">
        <v>59883.09</v>
      </c>
      <c r="N556">
        <v>49455.72</v>
      </c>
      <c r="O556">
        <v>10427.370000000001</v>
      </c>
      <c r="P556" t="s">
        <v>122</v>
      </c>
      <c r="Q556">
        <v>2.9</v>
      </c>
      <c r="R556" t="s">
        <v>30</v>
      </c>
      <c r="S556" t="s">
        <v>58</v>
      </c>
      <c r="T556">
        <v>2024</v>
      </c>
    </row>
    <row r="557" spans="1:20" x14ac:dyDescent="0.3">
      <c r="A557" t="s">
        <v>971</v>
      </c>
      <c r="B557" t="s">
        <v>333</v>
      </c>
      <c r="C557" t="s">
        <v>200</v>
      </c>
      <c r="D557" t="s">
        <v>52</v>
      </c>
      <c r="E557" t="s">
        <v>53</v>
      </c>
      <c r="F557" t="s">
        <v>54</v>
      </c>
      <c r="G557" t="s">
        <v>201</v>
      </c>
      <c r="H557" t="s">
        <v>179</v>
      </c>
      <c r="I557" t="s">
        <v>57</v>
      </c>
      <c r="J557">
        <v>2</v>
      </c>
      <c r="K557">
        <v>38488.04</v>
      </c>
      <c r="L557">
        <v>20</v>
      </c>
      <c r="M557">
        <v>76976.08</v>
      </c>
      <c r="N557">
        <v>63467.19</v>
      </c>
      <c r="O557">
        <v>13508.89</v>
      </c>
      <c r="P557" t="s">
        <v>41</v>
      </c>
      <c r="Q557">
        <v>1.1000000000000001</v>
      </c>
      <c r="R557" t="s">
        <v>30</v>
      </c>
      <c r="S557" t="s">
        <v>162</v>
      </c>
      <c r="T557">
        <v>2024</v>
      </c>
    </row>
    <row r="558" spans="1:20" x14ac:dyDescent="0.3">
      <c r="A558" t="s">
        <v>972</v>
      </c>
      <c r="B558" t="s">
        <v>973</v>
      </c>
      <c r="C558" t="s">
        <v>90</v>
      </c>
      <c r="D558" t="s">
        <v>69</v>
      </c>
      <c r="E558" t="s">
        <v>70</v>
      </c>
      <c r="F558" t="s">
        <v>45</v>
      </c>
      <c r="G558" t="s">
        <v>46</v>
      </c>
      <c r="H558" t="s">
        <v>100</v>
      </c>
      <c r="I558" t="s">
        <v>101</v>
      </c>
      <c r="J558">
        <v>5</v>
      </c>
      <c r="K558">
        <v>20202.560000000001</v>
      </c>
      <c r="L558">
        <v>10</v>
      </c>
      <c r="M558">
        <v>101012.8</v>
      </c>
      <c r="N558">
        <v>81468.399999999994</v>
      </c>
      <c r="O558">
        <v>19544.400000000001</v>
      </c>
      <c r="P558" t="s">
        <v>122</v>
      </c>
      <c r="Q558">
        <v>3.6</v>
      </c>
      <c r="R558" t="s">
        <v>30</v>
      </c>
      <c r="S558" t="s">
        <v>49</v>
      </c>
      <c r="T558">
        <v>2024</v>
      </c>
    </row>
    <row r="559" spans="1:20" x14ac:dyDescent="0.3">
      <c r="A559" t="s">
        <v>974</v>
      </c>
      <c r="B559" t="s">
        <v>722</v>
      </c>
      <c r="C559" t="s">
        <v>61</v>
      </c>
      <c r="D559" t="s">
        <v>81</v>
      </c>
      <c r="E559" t="s">
        <v>128</v>
      </c>
      <c r="F559" t="s">
        <v>54</v>
      </c>
      <c r="G559" t="s">
        <v>91</v>
      </c>
      <c r="H559" t="s">
        <v>91</v>
      </c>
      <c r="I559" t="s">
        <v>180</v>
      </c>
      <c r="J559">
        <v>3</v>
      </c>
      <c r="K559">
        <v>39008.370000000003</v>
      </c>
      <c r="L559">
        <v>25</v>
      </c>
      <c r="M559">
        <v>117025.11</v>
      </c>
      <c r="N559">
        <v>90741.79</v>
      </c>
      <c r="O559">
        <v>26283.32</v>
      </c>
      <c r="P559" t="s">
        <v>144</v>
      </c>
      <c r="Q559">
        <v>2.2000000000000002</v>
      </c>
      <c r="R559" t="s">
        <v>30</v>
      </c>
      <c r="S559" t="s">
        <v>31</v>
      </c>
      <c r="T559">
        <v>2024</v>
      </c>
    </row>
    <row r="560" spans="1:20" x14ac:dyDescent="0.3">
      <c r="A560" t="s">
        <v>975</v>
      </c>
      <c r="B560" t="s">
        <v>463</v>
      </c>
      <c r="C560" t="s">
        <v>97</v>
      </c>
      <c r="D560" t="s">
        <v>81</v>
      </c>
      <c r="E560" t="s">
        <v>128</v>
      </c>
      <c r="F560" t="s">
        <v>45</v>
      </c>
      <c r="G560" t="s">
        <v>105</v>
      </c>
      <c r="H560" t="s">
        <v>100</v>
      </c>
      <c r="I560" t="s">
        <v>48</v>
      </c>
      <c r="J560">
        <v>1</v>
      </c>
      <c r="K560">
        <v>9946.27</v>
      </c>
      <c r="L560">
        <v>25</v>
      </c>
      <c r="M560">
        <v>9946.27</v>
      </c>
      <c r="N560">
        <v>6759.15</v>
      </c>
      <c r="O560">
        <v>3187.12</v>
      </c>
      <c r="P560" t="s">
        <v>122</v>
      </c>
      <c r="Q560">
        <v>1.1000000000000001</v>
      </c>
      <c r="R560" t="s">
        <v>30</v>
      </c>
      <c r="S560" t="s">
        <v>42</v>
      </c>
      <c r="T560">
        <v>2024</v>
      </c>
    </row>
    <row r="561" spans="1:20" x14ac:dyDescent="0.3">
      <c r="A561" t="s">
        <v>976</v>
      </c>
      <c r="B561" t="s">
        <v>977</v>
      </c>
      <c r="C561" t="s">
        <v>200</v>
      </c>
      <c r="D561" t="s">
        <v>98</v>
      </c>
      <c r="E561" t="s">
        <v>99</v>
      </c>
      <c r="F561" t="s">
        <v>37</v>
      </c>
      <c r="G561" t="s">
        <v>38</v>
      </c>
      <c r="H561" t="s">
        <v>140</v>
      </c>
      <c r="I561" t="s">
        <v>40</v>
      </c>
      <c r="J561">
        <v>5</v>
      </c>
      <c r="K561">
        <v>7994.76</v>
      </c>
      <c r="L561">
        <v>5</v>
      </c>
      <c r="M561">
        <v>39973.800000000003</v>
      </c>
      <c r="N561">
        <v>32163.439999999999</v>
      </c>
      <c r="O561">
        <v>7810.36</v>
      </c>
      <c r="P561" t="s">
        <v>29</v>
      </c>
      <c r="Q561">
        <v>1.5</v>
      </c>
      <c r="R561" t="s">
        <v>30</v>
      </c>
      <c r="S561" t="s">
        <v>31</v>
      </c>
      <c r="T561">
        <v>2024</v>
      </c>
    </row>
    <row r="562" spans="1:20" x14ac:dyDescent="0.3">
      <c r="A562" t="s">
        <v>978</v>
      </c>
      <c r="B562" t="s">
        <v>313</v>
      </c>
      <c r="C562" t="s">
        <v>200</v>
      </c>
      <c r="D562" t="s">
        <v>35</v>
      </c>
      <c r="E562" t="s">
        <v>36</v>
      </c>
      <c r="F562" t="s">
        <v>62</v>
      </c>
      <c r="G562" t="s">
        <v>71</v>
      </c>
      <c r="H562" t="s">
        <v>64</v>
      </c>
      <c r="I562" t="s">
        <v>143</v>
      </c>
      <c r="J562">
        <v>3</v>
      </c>
      <c r="K562">
        <v>6341.62</v>
      </c>
      <c r="L562">
        <v>30</v>
      </c>
      <c r="M562">
        <v>19024.86</v>
      </c>
      <c r="N562">
        <v>13613.05</v>
      </c>
      <c r="O562">
        <v>5411.81</v>
      </c>
      <c r="P562" t="s">
        <v>122</v>
      </c>
      <c r="Q562">
        <v>4.4000000000000004</v>
      </c>
      <c r="R562" t="s">
        <v>30</v>
      </c>
      <c r="S562" t="s">
        <v>42</v>
      </c>
      <c r="T562">
        <v>2024</v>
      </c>
    </row>
    <row r="563" spans="1:20" x14ac:dyDescent="0.3">
      <c r="A563" t="s">
        <v>979</v>
      </c>
      <c r="B563" t="s">
        <v>677</v>
      </c>
      <c r="C563" t="s">
        <v>61</v>
      </c>
      <c r="D563" t="s">
        <v>52</v>
      </c>
      <c r="E563" t="s">
        <v>53</v>
      </c>
      <c r="F563" t="s">
        <v>37</v>
      </c>
      <c r="G563" t="s">
        <v>38</v>
      </c>
      <c r="H563" t="s">
        <v>39</v>
      </c>
      <c r="I563" t="s">
        <v>40</v>
      </c>
      <c r="J563">
        <v>4</v>
      </c>
      <c r="K563">
        <v>37503.57</v>
      </c>
      <c r="L563">
        <v>25</v>
      </c>
      <c r="M563">
        <v>150014.28</v>
      </c>
      <c r="N563">
        <v>98613.88</v>
      </c>
      <c r="O563">
        <v>51400.4</v>
      </c>
      <c r="P563" t="s">
        <v>113</v>
      </c>
      <c r="Q563">
        <v>1.8</v>
      </c>
      <c r="R563" t="s">
        <v>30</v>
      </c>
      <c r="S563" t="s">
        <v>107</v>
      </c>
      <c r="T563">
        <v>2024</v>
      </c>
    </row>
    <row r="564" spans="1:20" x14ac:dyDescent="0.3">
      <c r="A564" t="s">
        <v>980</v>
      </c>
      <c r="B564" t="s">
        <v>683</v>
      </c>
      <c r="C564" t="s">
        <v>22</v>
      </c>
      <c r="D564" t="s">
        <v>125</v>
      </c>
      <c r="E564" t="s">
        <v>139</v>
      </c>
      <c r="F564" t="s">
        <v>25</v>
      </c>
      <c r="G564" t="s">
        <v>26</v>
      </c>
      <c r="H564" t="s">
        <v>221</v>
      </c>
      <c r="I564" t="s">
        <v>112</v>
      </c>
      <c r="J564">
        <v>1</v>
      </c>
      <c r="K564">
        <v>36760.35</v>
      </c>
      <c r="L564">
        <v>20</v>
      </c>
      <c r="M564">
        <v>36760.35</v>
      </c>
      <c r="N564">
        <v>29022.48</v>
      </c>
      <c r="O564">
        <v>7737.87</v>
      </c>
      <c r="P564" t="s">
        <v>122</v>
      </c>
      <c r="Q564">
        <v>1.5</v>
      </c>
      <c r="R564" t="s">
        <v>30</v>
      </c>
      <c r="S564" t="s">
        <v>162</v>
      </c>
      <c r="T564">
        <v>2024</v>
      </c>
    </row>
    <row r="565" spans="1:20" x14ac:dyDescent="0.3">
      <c r="A565" t="s">
        <v>981</v>
      </c>
      <c r="B565" t="s">
        <v>440</v>
      </c>
      <c r="C565" t="s">
        <v>200</v>
      </c>
      <c r="D565" t="s">
        <v>125</v>
      </c>
      <c r="E565" t="s">
        <v>126</v>
      </c>
      <c r="F565" t="s">
        <v>37</v>
      </c>
      <c r="G565" t="s">
        <v>38</v>
      </c>
      <c r="H565" t="s">
        <v>86</v>
      </c>
      <c r="I565" t="s">
        <v>40</v>
      </c>
      <c r="J565">
        <v>5</v>
      </c>
      <c r="K565">
        <v>38023.86</v>
      </c>
      <c r="L565">
        <v>5</v>
      </c>
      <c r="M565">
        <v>190119.3</v>
      </c>
      <c r="N565">
        <v>149326.76999999999</v>
      </c>
      <c r="O565">
        <v>40792.53</v>
      </c>
      <c r="P565" t="s">
        <v>122</v>
      </c>
      <c r="Q565">
        <v>2.1</v>
      </c>
      <c r="R565" t="s">
        <v>30</v>
      </c>
      <c r="S565" t="s">
        <v>78</v>
      </c>
      <c r="T565">
        <v>2024</v>
      </c>
    </row>
    <row r="566" spans="1:20" x14ac:dyDescent="0.3">
      <c r="A566" t="s">
        <v>982</v>
      </c>
      <c r="B566" t="s">
        <v>404</v>
      </c>
      <c r="C566" t="s">
        <v>34</v>
      </c>
      <c r="D566" t="s">
        <v>69</v>
      </c>
      <c r="E566" t="s">
        <v>155</v>
      </c>
      <c r="F566" t="s">
        <v>37</v>
      </c>
      <c r="G566" t="s">
        <v>38</v>
      </c>
      <c r="H566" t="s">
        <v>327</v>
      </c>
      <c r="I566" t="s">
        <v>40</v>
      </c>
      <c r="J566">
        <v>1</v>
      </c>
      <c r="K566">
        <v>17983.34</v>
      </c>
      <c r="L566">
        <v>10</v>
      </c>
      <c r="M566">
        <v>17983.34</v>
      </c>
      <c r="N566">
        <v>14779.08</v>
      </c>
      <c r="O566">
        <v>3204.26</v>
      </c>
      <c r="P566" t="s">
        <v>113</v>
      </c>
      <c r="Q566">
        <v>1.5</v>
      </c>
      <c r="R566" t="s">
        <v>30</v>
      </c>
      <c r="S566" t="s">
        <v>102</v>
      </c>
      <c r="T566">
        <v>2024</v>
      </c>
    </row>
    <row r="567" spans="1:20" x14ac:dyDescent="0.3">
      <c r="A567" t="s">
        <v>983</v>
      </c>
      <c r="B567" t="s">
        <v>395</v>
      </c>
      <c r="C567" t="s">
        <v>34</v>
      </c>
      <c r="D567" t="s">
        <v>132</v>
      </c>
      <c r="E567" t="s">
        <v>133</v>
      </c>
      <c r="F567" t="s">
        <v>62</v>
      </c>
      <c r="G567" t="s">
        <v>71</v>
      </c>
      <c r="H567" t="s">
        <v>152</v>
      </c>
      <c r="I567" t="s">
        <v>65</v>
      </c>
      <c r="J567">
        <v>5</v>
      </c>
      <c r="K567">
        <v>25457.34</v>
      </c>
      <c r="L567">
        <v>10</v>
      </c>
      <c r="M567">
        <v>127286.7</v>
      </c>
      <c r="N567">
        <v>97336.49</v>
      </c>
      <c r="O567">
        <v>29950.21</v>
      </c>
      <c r="P567" t="s">
        <v>41</v>
      </c>
      <c r="Q567">
        <v>4.3</v>
      </c>
      <c r="R567" t="s">
        <v>30</v>
      </c>
      <c r="S567" t="s">
        <v>49</v>
      </c>
      <c r="T567">
        <v>2024</v>
      </c>
    </row>
    <row r="568" spans="1:20" x14ac:dyDescent="0.3">
      <c r="A568" t="s">
        <v>984</v>
      </c>
      <c r="B568" t="s">
        <v>957</v>
      </c>
      <c r="C568" t="s">
        <v>90</v>
      </c>
      <c r="D568" t="s">
        <v>125</v>
      </c>
      <c r="E568" t="s">
        <v>139</v>
      </c>
      <c r="F568" t="s">
        <v>25</v>
      </c>
      <c r="G568" t="s">
        <v>26</v>
      </c>
      <c r="H568" t="s">
        <v>235</v>
      </c>
      <c r="I568" t="s">
        <v>28</v>
      </c>
      <c r="J568">
        <v>4</v>
      </c>
      <c r="K568">
        <v>26220.67</v>
      </c>
      <c r="L568">
        <v>5</v>
      </c>
      <c r="M568">
        <v>104882.68</v>
      </c>
      <c r="N568">
        <v>87938.93</v>
      </c>
      <c r="O568">
        <v>16943.75</v>
      </c>
      <c r="P568" t="s">
        <v>144</v>
      </c>
      <c r="Q568">
        <v>3.3</v>
      </c>
      <c r="R568" t="s">
        <v>30</v>
      </c>
      <c r="S568" t="s">
        <v>107</v>
      </c>
      <c r="T568">
        <v>2024</v>
      </c>
    </row>
    <row r="569" spans="1:20" x14ac:dyDescent="0.3">
      <c r="A569" t="s">
        <v>985</v>
      </c>
      <c r="B569" t="s">
        <v>556</v>
      </c>
      <c r="C569" t="s">
        <v>22</v>
      </c>
      <c r="D569" t="s">
        <v>23</v>
      </c>
      <c r="E569" t="s">
        <v>24</v>
      </c>
      <c r="F569" t="s">
        <v>25</v>
      </c>
      <c r="G569" t="s">
        <v>26</v>
      </c>
      <c r="H569" t="s">
        <v>27</v>
      </c>
      <c r="I569" t="s">
        <v>28</v>
      </c>
      <c r="J569">
        <v>1</v>
      </c>
      <c r="K569">
        <v>48670.07</v>
      </c>
      <c r="L569">
        <v>5</v>
      </c>
      <c r="M569">
        <v>48670.07</v>
      </c>
      <c r="N569">
        <v>38117.589999999997</v>
      </c>
      <c r="O569">
        <v>10552.48</v>
      </c>
      <c r="P569" t="s">
        <v>41</v>
      </c>
      <c r="Q569">
        <v>4.2</v>
      </c>
      <c r="R569" t="s">
        <v>30</v>
      </c>
      <c r="S569" t="s">
        <v>102</v>
      </c>
      <c r="T569">
        <v>2025</v>
      </c>
    </row>
    <row r="570" spans="1:20" x14ac:dyDescent="0.3">
      <c r="A570" t="s">
        <v>986</v>
      </c>
      <c r="B570" t="s">
        <v>609</v>
      </c>
      <c r="C570" t="s">
        <v>136</v>
      </c>
      <c r="D570" t="s">
        <v>35</v>
      </c>
      <c r="E570" t="s">
        <v>36</v>
      </c>
      <c r="F570" t="s">
        <v>54</v>
      </c>
      <c r="G570" t="s">
        <v>91</v>
      </c>
      <c r="H570" t="s">
        <v>117</v>
      </c>
      <c r="I570" t="s">
        <v>118</v>
      </c>
      <c r="J570">
        <v>5</v>
      </c>
      <c r="K570">
        <v>12197.36</v>
      </c>
      <c r="L570">
        <v>20</v>
      </c>
      <c r="M570">
        <v>60986.8</v>
      </c>
      <c r="N570">
        <v>43672.82</v>
      </c>
      <c r="O570">
        <v>17313.98</v>
      </c>
      <c r="P570" t="s">
        <v>29</v>
      </c>
      <c r="Q570">
        <v>3.5</v>
      </c>
      <c r="R570" t="s">
        <v>30</v>
      </c>
      <c r="S570" t="s">
        <v>87</v>
      </c>
      <c r="T570">
        <v>2025</v>
      </c>
    </row>
    <row r="571" spans="1:20" x14ac:dyDescent="0.3">
      <c r="A571" t="s">
        <v>987</v>
      </c>
      <c r="B571" t="s">
        <v>988</v>
      </c>
      <c r="C571" t="s">
        <v>90</v>
      </c>
      <c r="D571" t="s">
        <v>98</v>
      </c>
      <c r="E571" t="s">
        <v>99</v>
      </c>
      <c r="F571" t="s">
        <v>54</v>
      </c>
      <c r="G571" t="s">
        <v>201</v>
      </c>
      <c r="H571" t="s">
        <v>92</v>
      </c>
      <c r="I571" t="s">
        <v>118</v>
      </c>
      <c r="J571">
        <v>4</v>
      </c>
      <c r="K571">
        <v>14488.22</v>
      </c>
      <c r="L571">
        <v>10</v>
      </c>
      <c r="M571">
        <v>57952.88</v>
      </c>
      <c r="N571">
        <v>47765.32</v>
      </c>
      <c r="O571">
        <v>10187.56</v>
      </c>
      <c r="P571" t="s">
        <v>144</v>
      </c>
      <c r="Q571">
        <v>2.7</v>
      </c>
      <c r="R571" t="s">
        <v>30</v>
      </c>
      <c r="S571" t="s">
        <v>42</v>
      </c>
      <c r="T571">
        <v>2024</v>
      </c>
    </row>
    <row r="572" spans="1:20" x14ac:dyDescent="0.3">
      <c r="A572" t="s">
        <v>989</v>
      </c>
      <c r="B572" t="s">
        <v>349</v>
      </c>
      <c r="C572" t="s">
        <v>80</v>
      </c>
      <c r="D572" t="s">
        <v>35</v>
      </c>
      <c r="E572" t="s">
        <v>36</v>
      </c>
      <c r="F572" t="s">
        <v>62</v>
      </c>
      <c r="G572" t="s">
        <v>71</v>
      </c>
      <c r="H572" t="s">
        <v>83</v>
      </c>
      <c r="I572" t="s">
        <v>143</v>
      </c>
      <c r="J572">
        <v>2</v>
      </c>
      <c r="K572">
        <v>33547.94</v>
      </c>
      <c r="L572">
        <v>30</v>
      </c>
      <c r="M572">
        <v>67095.88</v>
      </c>
      <c r="N572">
        <v>47148.54</v>
      </c>
      <c r="O572">
        <v>19947.34</v>
      </c>
      <c r="P572" t="s">
        <v>144</v>
      </c>
      <c r="Q572">
        <v>1.1000000000000001</v>
      </c>
      <c r="R572" t="s">
        <v>30</v>
      </c>
      <c r="S572" t="s">
        <v>87</v>
      </c>
      <c r="T572">
        <v>2025</v>
      </c>
    </row>
    <row r="573" spans="1:20" x14ac:dyDescent="0.3">
      <c r="A573" t="s">
        <v>990</v>
      </c>
      <c r="B573" t="s">
        <v>406</v>
      </c>
      <c r="C573" t="s">
        <v>168</v>
      </c>
      <c r="D573" t="s">
        <v>81</v>
      </c>
      <c r="E573" t="s">
        <v>149</v>
      </c>
      <c r="F573" t="s">
        <v>37</v>
      </c>
      <c r="G573" t="s">
        <v>38</v>
      </c>
      <c r="H573" t="s">
        <v>77</v>
      </c>
      <c r="I573" t="s">
        <v>40</v>
      </c>
      <c r="J573">
        <v>5</v>
      </c>
      <c r="K573">
        <v>4800.26</v>
      </c>
      <c r="L573">
        <v>25</v>
      </c>
      <c r="M573">
        <v>24001.3</v>
      </c>
      <c r="N573">
        <v>18985.23</v>
      </c>
      <c r="O573">
        <v>5016.07</v>
      </c>
      <c r="P573" t="s">
        <v>41</v>
      </c>
      <c r="Q573">
        <v>2.2000000000000002</v>
      </c>
      <c r="R573" t="s">
        <v>30</v>
      </c>
      <c r="S573" t="s">
        <v>94</v>
      </c>
      <c r="T573">
        <v>2024</v>
      </c>
    </row>
    <row r="574" spans="1:20" x14ac:dyDescent="0.3">
      <c r="A574" t="s">
        <v>991</v>
      </c>
      <c r="B574" t="s">
        <v>255</v>
      </c>
      <c r="C574" t="s">
        <v>116</v>
      </c>
      <c r="D574" t="s">
        <v>35</v>
      </c>
      <c r="E574" t="s">
        <v>36</v>
      </c>
      <c r="F574" t="s">
        <v>62</v>
      </c>
      <c r="G574" t="s">
        <v>63</v>
      </c>
      <c r="H574" t="s">
        <v>64</v>
      </c>
      <c r="I574" t="s">
        <v>65</v>
      </c>
      <c r="J574">
        <v>4</v>
      </c>
      <c r="K574">
        <v>36429.57</v>
      </c>
      <c r="L574">
        <v>20</v>
      </c>
      <c r="M574">
        <v>145718.28</v>
      </c>
      <c r="N574">
        <v>118528.7</v>
      </c>
      <c r="O574">
        <v>27189.58</v>
      </c>
      <c r="P574" t="s">
        <v>122</v>
      </c>
      <c r="Q574">
        <v>4.5999999999999996</v>
      </c>
      <c r="R574" t="s">
        <v>30</v>
      </c>
      <c r="S574" t="s">
        <v>107</v>
      </c>
      <c r="T574">
        <v>2024</v>
      </c>
    </row>
    <row r="575" spans="1:20" x14ac:dyDescent="0.3">
      <c r="A575" t="s">
        <v>992</v>
      </c>
      <c r="B575" t="s">
        <v>756</v>
      </c>
      <c r="C575" t="s">
        <v>34</v>
      </c>
      <c r="D575" t="s">
        <v>35</v>
      </c>
      <c r="E575" t="s">
        <v>36</v>
      </c>
      <c r="F575" t="s">
        <v>54</v>
      </c>
      <c r="G575" t="s">
        <v>228</v>
      </c>
      <c r="H575" t="s">
        <v>92</v>
      </c>
      <c r="I575" t="s">
        <v>296</v>
      </c>
      <c r="J575">
        <v>4</v>
      </c>
      <c r="K575">
        <v>29775.43</v>
      </c>
      <c r="L575">
        <v>10</v>
      </c>
      <c r="M575">
        <v>119101.72</v>
      </c>
      <c r="N575">
        <v>100970.99</v>
      </c>
      <c r="O575">
        <v>18130.73</v>
      </c>
      <c r="P575" t="s">
        <v>29</v>
      </c>
      <c r="Q575">
        <v>4.5999999999999996</v>
      </c>
      <c r="R575" t="s">
        <v>30</v>
      </c>
      <c r="S575" t="s">
        <v>102</v>
      </c>
      <c r="T575">
        <v>2024</v>
      </c>
    </row>
    <row r="576" spans="1:20" x14ac:dyDescent="0.3">
      <c r="A576" t="s">
        <v>993</v>
      </c>
      <c r="B576" t="s">
        <v>182</v>
      </c>
      <c r="C576" t="s">
        <v>34</v>
      </c>
      <c r="D576" t="s">
        <v>98</v>
      </c>
      <c r="E576" t="s">
        <v>99</v>
      </c>
      <c r="F576" t="s">
        <v>45</v>
      </c>
      <c r="G576" t="s">
        <v>46</v>
      </c>
      <c r="H576" t="s">
        <v>100</v>
      </c>
      <c r="I576" t="s">
        <v>101</v>
      </c>
      <c r="J576">
        <v>3</v>
      </c>
      <c r="K576">
        <v>10736.32</v>
      </c>
      <c r="L576">
        <v>20</v>
      </c>
      <c r="M576">
        <v>32208.959999999999</v>
      </c>
      <c r="N576">
        <v>21174.45</v>
      </c>
      <c r="O576">
        <v>11034.51</v>
      </c>
      <c r="P576" t="s">
        <v>41</v>
      </c>
      <c r="Q576">
        <v>3.7</v>
      </c>
      <c r="R576" t="s">
        <v>30</v>
      </c>
      <c r="S576" t="s">
        <v>78</v>
      </c>
      <c r="T576">
        <v>2024</v>
      </c>
    </row>
    <row r="577" spans="1:20" x14ac:dyDescent="0.3">
      <c r="A577" t="s">
        <v>994</v>
      </c>
      <c r="B577" t="s">
        <v>325</v>
      </c>
      <c r="C577" t="s">
        <v>136</v>
      </c>
      <c r="D577" t="s">
        <v>23</v>
      </c>
      <c r="E577" t="s">
        <v>24</v>
      </c>
      <c r="F577" t="s">
        <v>25</v>
      </c>
      <c r="G577" t="s">
        <v>111</v>
      </c>
      <c r="H577" t="s">
        <v>235</v>
      </c>
      <c r="I577" t="s">
        <v>28</v>
      </c>
      <c r="J577">
        <v>5</v>
      </c>
      <c r="K577">
        <v>8005.02</v>
      </c>
      <c r="L577">
        <v>10</v>
      </c>
      <c r="M577">
        <v>40025.1</v>
      </c>
      <c r="N577">
        <v>28525.64</v>
      </c>
      <c r="O577">
        <v>11499.46</v>
      </c>
      <c r="P577" t="s">
        <v>41</v>
      </c>
      <c r="Q577">
        <v>2.5</v>
      </c>
      <c r="R577" t="s">
        <v>159</v>
      </c>
      <c r="S577" t="s">
        <v>49</v>
      </c>
      <c r="T577">
        <v>2024</v>
      </c>
    </row>
    <row r="578" spans="1:20" x14ac:dyDescent="0.3">
      <c r="A578" t="s">
        <v>995</v>
      </c>
      <c r="B578" t="s">
        <v>488</v>
      </c>
      <c r="C578" t="s">
        <v>97</v>
      </c>
      <c r="D578" t="s">
        <v>125</v>
      </c>
      <c r="E578" t="s">
        <v>126</v>
      </c>
      <c r="F578" t="s">
        <v>45</v>
      </c>
      <c r="G578" t="s">
        <v>105</v>
      </c>
      <c r="H578" t="s">
        <v>100</v>
      </c>
      <c r="I578" t="s">
        <v>101</v>
      </c>
      <c r="J578">
        <v>3</v>
      </c>
      <c r="K578">
        <v>32078.48</v>
      </c>
      <c r="L578">
        <v>10</v>
      </c>
      <c r="M578">
        <v>96235.44</v>
      </c>
      <c r="N578">
        <v>63748.67</v>
      </c>
      <c r="O578">
        <v>32486.77</v>
      </c>
      <c r="P578" t="s">
        <v>122</v>
      </c>
      <c r="Q578">
        <v>4.5</v>
      </c>
      <c r="R578" t="s">
        <v>30</v>
      </c>
      <c r="S578" t="s">
        <v>94</v>
      </c>
      <c r="T578">
        <v>2024</v>
      </c>
    </row>
    <row r="579" spans="1:20" x14ac:dyDescent="0.3">
      <c r="A579" t="s">
        <v>996</v>
      </c>
      <c r="B579" t="s">
        <v>218</v>
      </c>
      <c r="C579" t="s">
        <v>90</v>
      </c>
      <c r="D579" t="s">
        <v>98</v>
      </c>
      <c r="E579" t="s">
        <v>99</v>
      </c>
      <c r="F579" t="s">
        <v>54</v>
      </c>
      <c r="G579" t="s">
        <v>228</v>
      </c>
      <c r="H579" t="s">
        <v>56</v>
      </c>
      <c r="I579" t="s">
        <v>185</v>
      </c>
      <c r="J579">
        <v>1</v>
      </c>
      <c r="K579">
        <v>31277.18</v>
      </c>
      <c r="L579">
        <v>5</v>
      </c>
      <c r="M579">
        <v>31277.18</v>
      </c>
      <c r="N579">
        <v>22470.61</v>
      </c>
      <c r="O579">
        <v>8806.57</v>
      </c>
      <c r="P579" t="s">
        <v>29</v>
      </c>
      <c r="Q579">
        <v>3</v>
      </c>
      <c r="R579" t="s">
        <v>30</v>
      </c>
      <c r="S579" t="s">
        <v>31</v>
      </c>
      <c r="T579">
        <v>2024</v>
      </c>
    </row>
    <row r="580" spans="1:20" x14ac:dyDescent="0.3">
      <c r="A580" t="s">
        <v>997</v>
      </c>
      <c r="B580" t="s">
        <v>903</v>
      </c>
      <c r="C580" t="s">
        <v>61</v>
      </c>
      <c r="D580" t="s">
        <v>35</v>
      </c>
      <c r="E580" t="s">
        <v>36</v>
      </c>
      <c r="F580" t="s">
        <v>54</v>
      </c>
      <c r="G580" t="s">
        <v>91</v>
      </c>
      <c r="H580" t="s">
        <v>91</v>
      </c>
      <c r="I580" t="s">
        <v>185</v>
      </c>
      <c r="J580">
        <v>1</v>
      </c>
      <c r="K580">
        <v>31094.13</v>
      </c>
      <c r="L580">
        <v>15</v>
      </c>
      <c r="M580">
        <v>31094.13</v>
      </c>
      <c r="N580">
        <v>26370.560000000001</v>
      </c>
      <c r="O580">
        <v>4723.57</v>
      </c>
      <c r="P580" t="s">
        <v>41</v>
      </c>
      <c r="Q580">
        <v>2.7</v>
      </c>
      <c r="R580" t="s">
        <v>30</v>
      </c>
      <c r="S580" t="s">
        <v>58</v>
      </c>
      <c r="T580">
        <v>2024</v>
      </c>
    </row>
    <row r="581" spans="1:20" x14ac:dyDescent="0.3">
      <c r="A581" t="s">
        <v>998</v>
      </c>
      <c r="B581" t="s">
        <v>752</v>
      </c>
      <c r="C581" t="s">
        <v>22</v>
      </c>
      <c r="D581" t="s">
        <v>81</v>
      </c>
      <c r="E581" t="s">
        <v>128</v>
      </c>
      <c r="F581" t="s">
        <v>25</v>
      </c>
      <c r="G581" t="s">
        <v>26</v>
      </c>
      <c r="H581" t="s">
        <v>121</v>
      </c>
      <c r="I581" t="s">
        <v>28</v>
      </c>
      <c r="J581">
        <v>4</v>
      </c>
      <c r="K581">
        <v>15881.67</v>
      </c>
      <c r="L581">
        <v>5</v>
      </c>
      <c r="M581">
        <v>63526.68</v>
      </c>
      <c r="N581">
        <v>48822.75</v>
      </c>
      <c r="O581">
        <v>14703.93</v>
      </c>
      <c r="P581" t="s">
        <v>73</v>
      </c>
      <c r="Q581">
        <v>4.3</v>
      </c>
      <c r="R581" t="s">
        <v>30</v>
      </c>
      <c r="S581" t="s">
        <v>87</v>
      </c>
      <c r="T581">
        <v>2025</v>
      </c>
    </row>
    <row r="582" spans="1:20" x14ac:dyDescent="0.3">
      <c r="A582" t="s">
        <v>999</v>
      </c>
      <c r="B582" t="s">
        <v>1000</v>
      </c>
      <c r="C582" t="s">
        <v>61</v>
      </c>
      <c r="D582" t="s">
        <v>23</v>
      </c>
      <c r="E582" t="s">
        <v>24</v>
      </c>
      <c r="F582" t="s">
        <v>37</v>
      </c>
      <c r="G582" t="s">
        <v>38</v>
      </c>
      <c r="H582" t="s">
        <v>86</v>
      </c>
      <c r="I582" t="s">
        <v>40</v>
      </c>
      <c r="J582">
        <v>4</v>
      </c>
      <c r="K582">
        <v>16129.77</v>
      </c>
      <c r="L582">
        <v>10</v>
      </c>
      <c r="M582">
        <v>64519.08</v>
      </c>
      <c r="N582">
        <v>50691.25</v>
      </c>
      <c r="O582">
        <v>13827.83</v>
      </c>
      <c r="P582" t="s">
        <v>29</v>
      </c>
      <c r="Q582">
        <v>1</v>
      </c>
      <c r="R582" t="s">
        <v>30</v>
      </c>
      <c r="S582" t="s">
        <v>119</v>
      </c>
      <c r="T582">
        <v>2024</v>
      </c>
    </row>
    <row r="583" spans="1:20" x14ac:dyDescent="0.3">
      <c r="A583" t="s">
        <v>1001</v>
      </c>
      <c r="B583" t="s">
        <v>154</v>
      </c>
      <c r="C583" t="s">
        <v>34</v>
      </c>
      <c r="D583" t="s">
        <v>81</v>
      </c>
      <c r="E583" t="s">
        <v>82</v>
      </c>
      <c r="F583" t="s">
        <v>45</v>
      </c>
      <c r="G583" t="s">
        <v>46</v>
      </c>
      <c r="H583" t="s">
        <v>176</v>
      </c>
      <c r="I583" t="s">
        <v>101</v>
      </c>
      <c r="J583">
        <v>5</v>
      </c>
      <c r="K583">
        <v>39478.69</v>
      </c>
      <c r="L583">
        <v>20</v>
      </c>
      <c r="M583">
        <v>197393.45</v>
      </c>
      <c r="N583">
        <v>158117.22</v>
      </c>
      <c r="O583">
        <v>39276.230000000003</v>
      </c>
      <c r="P583" t="s">
        <v>122</v>
      </c>
      <c r="Q583">
        <v>2.7</v>
      </c>
      <c r="R583" t="s">
        <v>30</v>
      </c>
      <c r="S583" t="s">
        <v>58</v>
      </c>
      <c r="T583">
        <v>2024</v>
      </c>
    </row>
    <row r="584" spans="1:20" x14ac:dyDescent="0.3">
      <c r="A584" t="s">
        <v>1002</v>
      </c>
      <c r="B584" t="s">
        <v>1003</v>
      </c>
      <c r="C584" t="s">
        <v>116</v>
      </c>
      <c r="D584" t="s">
        <v>132</v>
      </c>
      <c r="E584" t="s">
        <v>158</v>
      </c>
      <c r="F584" t="s">
        <v>25</v>
      </c>
      <c r="G584" t="s">
        <v>26</v>
      </c>
      <c r="H584" t="s">
        <v>121</v>
      </c>
      <c r="I584" t="s">
        <v>28</v>
      </c>
      <c r="J584">
        <v>3</v>
      </c>
      <c r="K584">
        <v>29635.8</v>
      </c>
      <c r="L584">
        <v>25</v>
      </c>
      <c r="M584">
        <v>88907.4</v>
      </c>
      <c r="N584">
        <v>59185.36</v>
      </c>
      <c r="O584">
        <v>29722.04</v>
      </c>
      <c r="P584" t="s">
        <v>122</v>
      </c>
      <c r="Q584">
        <v>1.2</v>
      </c>
      <c r="R584" t="s">
        <v>30</v>
      </c>
      <c r="S584" t="s">
        <v>87</v>
      </c>
      <c r="T584">
        <v>2025</v>
      </c>
    </row>
    <row r="585" spans="1:20" x14ac:dyDescent="0.3">
      <c r="A585" t="s">
        <v>1004</v>
      </c>
      <c r="B585" t="s">
        <v>364</v>
      </c>
      <c r="C585" t="s">
        <v>22</v>
      </c>
      <c r="D585" t="s">
        <v>98</v>
      </c>
      <c r="E585" t="s">
        <v>99</v>
      </c>
      <c r="F585" t="s">
        <v>54</v>
      </c>
      <c r="G585" t="s">
        <v>228</v>
      </c>
      <c r="H585" t="s">
        <v>56</v>
      </c>
      <c r="I585" t="s">
        <v>118</v>
      </c>
      <c r="J585">
        <v>2</v>
      </c>
      <c r="K585">
        <v>7892.27</v>
      </c>
      <c r="L585">
        <v>25</v>
      </c>
      <c r="M585">
        <v>15784.54</v>
      </c>
      <c r="N585">
        <v>13017.87</v>
      </c>
      <c r="O585">
        <v>2766.67</v>
      </c>
      <c r="P585" t="s">
        <v>144</v>
      </c>
      <c r="Q585">
        <v>1.1000000000000001</v>
      </c>
      <c r="R585" t="s">
        <v>30</v>
      </c>
      <c r="S585" t="s">
        <v>49</v>
      </c>
      <c r="T585">
        <v>2024</v>
      </c>
    </row>
    <row r="586" spans="1:20" x14ac:dyDescent="0.3">
      <c r="A586" t="s">
        <v>1005</v>
      </c>
      <c r="B586" t="s">
        <v>541</v>
      </c>
      <c r="C586" t="s">
        <v>90</v>
      </c>
      <c r="D586" t="s">
        <v>69</v>
      </c>
      <c r="E586" t="s">
        <v>70</v>
      </c>
      <c r="F586" t="s">
        <v>54</v>
      </c>
      <c r="G586" t="s">
        <v>201</v>
      </c>
      <c r="H586" t="s">
        <v>92</v>
      </c>
      <c r="I586" t="s">
        <v>296</v>
      </c>
      <c r="J586">
        <v>3</v>
      </c>
      <c r="K586">
        <v>45112.24</v>
      </c>
      <c r="L586">
        <v>5</v>
      </c>
      <c r="M586">
        <v>135336.72</v>
      </c>
      <c r="N586">
        <v>111824.48</v>
      </c>
      <c r="O586">
        <v>23512.240000000002</v>
      </c>
      <c r="P586" t="s">
        <v>73</v>
      </c>
      <c r="Q586">
        <v>4.7</v>
      </c>
      <c r="R586" t="s">
        <v>30</v>
      </c>
      <c r="S586" t="s">
        <v>58</v>
      </c>
      <c r="T586">
        <v>2024</v>
      </c>
    </row>
    <row r="587" spans="1:20" x14ac:dyDescent="0.3">
      <c r="A587" t="s">
        <v>1006</v>
      </c>
      <c r="B587" t="s">
        <v>208</v>
      </c>
      <c r="C587" t="s">
        <v>200</v>
      </c>
      <c r="D587" t="s">
        <v>98</v>
      </c>
      <c r="E587" t="s">
        <v>99</v>
      </c>
      <c r="F587" t="s">
        <v>37</v>
      </c>
      <c r="G587" t="s">
        <v>38</v>
      </c>
      <c r="H587" t="s">
        <v>39</v>
      </c>
      <c r="I587" t="s">
        <v>40</v>
      </c>
      <c r="J587">
        <v>4</v>
      </c>
      <c r="K587">
        <v>26527.78</v>
      </c>
      <c r="L587">
        <v>15</v>
      </c>
      <c r="M587">
        <v>106111.12</v>
      </c>
      <c r="N587">
        <v>89801.42</v>
      </c>
      <c r="O587">
        <v>16309.7</v>
      </c>
      <c r="P587" t="s">
        <v>144</v>
      </c>
      <c r="Q587">
        <v>3.7</v>
      </c>
      <c r="R587" t="s">
        <v>30</v>
      </c>
      <c r="S587" t="s">
        <v>102</v>
      </c>
      <c r="T587">
        <v>2024</v>
      </c>
    </row>
    <row r="588" spans="1:20" x14ac:dyDescent="0.3">
      <c r="A588" t="s">
        <v>1007</v>
      </c>
      <c r="B588" t="s">
        <v>1008</v>
      </c>
      <c r="C588" t="s">
        <v>22</v>
      </c>
      <c r="D588" t="s">
        <v>81</v>
      </c>
      <c r="E588" t="s">
        <v>82</v>
      </c>
      <c r="F588" t="s">
        <v>62</v>
      </c>
      <c r="G588" t="s">
        <v>71</v>
      </c>
      <c r="H588" t="s">
        <v>64</v>
      </c>
      <c r="I588" t="s">
        <v>65</v>
      </c>
      <c r="J588">
        <v>5</v>
      </c>
      <c r="K588">
        <v>37170.400000000001</v>
      </c>
      <c r="L588">
        <v>5</v>
      </c>
      <c r="M588">
        <v>185852</v>
      </c>
      <c r="N588">
        <v>141870.47</v>
      </c>
      <c r="O588">
        <v>43981.53</v>
      </c>
      <c r="P588" t="s">
        <v>29</v>
      </c>
      <c r="Q588">
        <v>3.7</v>
      </c>
      <c r="R588" t="s">
        <v>30</v>
      </c>
      <c r="S588" t="s">
        <v>49</v>
      </c>
      <c r="T588">
        <v>2024</v>
      </c>
    </row>
    <row r="589" spans="1:20" x14ac:dyDescent="0.3">
      <c r="A589" t="s">
        <v>1009</v>
      </c>
      <c r="B589" t="s">
        <v>208</v>
      </c>
      <c r="C589" t="s">
        <v>136</v>
      </c>
      <c r="D589" t="s">
        <v>81</v>
      </c>
      <c r="E589" t="s">
        <v>128</v>
      </c>
      <c r="F589" t="s">
        <v>37</v>
      </c>
      <c r="G589" t="s">
        <v>38</v>
      </c>
      <c r="H589" t="s">
        <v>39</v>
      </c>
      <c r="I589" t="s">
        <v>40</v>
      </c>
      <c r="J589">
        <v>5</v>
      </c>
      <c r="K589">
        <v>47535.79</v>
      </c>
      <c r="L589">
        <v>20</v>
      </c>
      <c r="M589">
        <v>237678.95</v>
      </c>
      <c r="N589">
        <v>154732.6</v>
      </c>
      <c r="O589">
        <v>82946.350000000006</v>
      </c>
      <c r="P589" t="s">
        <v>29</v>
      </c>
      <c r="Q589">
        <v>1.8</v>
      </c>
      <c r="R589" t="s">
        <v>30</v>
      </c>
      <c r="S589" t="s">
        <v>102</v>
      </c>
      <c r="T589">
        <v>2024</v>
      </c>
    </row>
    <row r="590" spans="1:20" x14ac:dyDescent="0.3">
      <c r="A590" t="s">
        <v>1010</v>
      </c>
      <c r="B590" t="s">
        <v>791</v>
      </c>
      <c r="C590" t="s">
        <v>61</v>
      </c>
      <c r="D590" t="s">
        <v>23</v>
      </c>
      <c r="E590" t="s">
        <v>24</v>
      </c>
      <c r="F590" t="s">
        <v>62</v>
      </c>
      <c r="G590" t="s">
        <v>63</v>
      </c>
      <c r="H590" t="s">
        <v>152</v>
      </c>
      <c r="I590" t="s">
        <v>143</v>
      </c>
      <c r="J590">
        <v>4</v>
      </c>
      <c r="K590">
        <v>30252.89</v>
      </c>
      <c r="L590">
        <v>25</v>
      </c>
      <c r="M590">
        <v>121011.56</v>
      </c>
      <c r="N590">
        <v>98351.85</v>
      </c>
      <c r="O590">
        <v>22659.71</v>
      </c>
      <c r="P590" t="s">
        <v>73</v>
      </c>
      <c r="Q590">
        <v>4.0999999999999996</v>
      </c>
      <c r="R590" t="s">
        <v>30</v>
      </c>
      <c r="S590" t="s">
        <v>42</v>
      </c>
      <c r="T590">
        <v>2024</v>
      </c>
    </row>
    <row r="591" spans="1:20" x14ac:dyDescent="0.3">
      <c r="A591" t="s">
        <v>1011</v>
      </c>
      <c r="B591" t="s">
        <v>220</v>
      </c>
      <c r="C591" t="s">
        <v>22</v>
      </c>
      <c r="D591" t="s">
        <v>69</v>
      </c>
      <c r="E591" t="s">
        <v>155</v>
      </c>
      <c r="F591" t="s">
        <v>37</v>
      </c>
      <c r="G591" t="s">
        <v>38</v>
      </c>
      <c r="H591" t="s">
        <v>77</v>
      </c>
      <c r="I591" t="s">
        <v>40</v>
      </c>
      <c r="J591">
        <v>3</v>
      </c>
      <c r="K591">
        <v>3126.9</v>
      </c>
      <c r="L591">
        <v>20</v>
      </c>
      <c r="M591">
        <v>9380.7000000000007</v>
      </c>
      <c r="N591">
        <v>6858.41</v>
      </c>
      <c r="O591">
        <v>2522.29</v>
      </c>
      <c r="P591" t="s">
        <v>113</v>
      </c>
      <c r="Q591">
        <v>1.9</v>
      </c>
      <c r="R591" t="s">
        <v>30</v>
      </c>
      <c r="S591" t="s">
        <v>74</v>
      </c>
      <c r="T591">
        <v>2024</v>
      </c>
    </row>
    <row r="592" spans="1:20" x14ac:dyDescent="0.3">
      <c r="A592" t="s">
        <v>1012</v>
      </c>
      <c r="B592" t="s">
        <v>1013</v>
      </c>
      <c r="C592" t="s">
        <v>200</v>
      </c>
      <c r="D592" t="s">
        <v>81</v>
      </c>
      <c r="E592" t="s">
        <v>82</v>
      </c>
      <c r="F592" t="s">
        <v>25</v>
      </c>
      <c r="G592" t="s">
        <v>26</v>
      </c>
      <c r="H592" t="s">
        <v>235</v>
      </c>
      <c r="I592" t="s">
        <v>112</v>
      </c>
      <c r="J592">
        <v>3</v>
      </c>
      <c r="K592">
        <v>40295.47</v>
      </c>
      <c r="L592">
        <v>15</v>
      </c>
      <c r="M592">
        <v>120886.41</v>
      </c>
      <c r="N592">
        <v>100568.61</v>
      </c>
      <c r="O592">
        <v>20317.8</v>
      </c>
      <c r="P592" t="s">
        <v>41</v>
      </c>
      <c r="Q592">
        <v>2.8</v>
      </c>
      <c r="R592" t="s">
        <v>30</v>
      </c>
      <c r="S592" t="s">
        <v>107</v>
      </c>
      <c r="T592">
        <v>2024</v>
      </c>
    </row>
    <row r="593" spans="1:20" x14ac:dyDescent="0.3">
      <c r="A593" t="s">
        <v>1014</v>
      </c>
      <c r="B593" t="s">
        <v>538</v>
      </c>
      <c r="C593" t="s">
        <v>80</v>
      </c>
      <c r="D593" t="s">
        <v>98</v>
      </c>
      <c r="E593" t="s">
        <v>99</v>
      </c>
      <c r="F593" t="s">
        <v>45</v>
      </c>
      <c r="G593" t="s">
        <v>46</v>
      </c>
      <c r="H593" t="s">
        <v>100</v>
      </c>
      <c r="I593" t="s">
        <v>48</v>
      </c>
      <c r="J593">
        <v>4</v>
      </c>
      <c r="K593">
        <v>462</v>
      </c>
      <c r="L593">
        <v>30</v>
      </c>
      <c r="M593">
        <v>1848</v>
      </c>
      <c r="N593">
        <v>1373.89</v>
      </c>
      <c r="O593">
        <v>474.11</v>
      </c>
      <c r="P593" t="s">
        <v>113</v>
      </c>
      <c r="Q593">
        <v>3.4</v>
      </c>
      <c r="R593" t="s">
        <v>30</v>
      </c>
      <c r="S593" t="s">
        <v>119</v>
      </c>
      <c r="T593">
        <v>2024</v>
      </c>
    </row>
    <row r="594" spans="1:20" x14ac:dyDescent="0.3">
      <c r="A594" t="s">
        <v>1015</v>
      </c>
      <c r="B594" t="s">
        <v>719</v>
      </c>
      <c r="C594" t="s">
        <v>97</v>
      </c>
      <c r="D594" t="s">
        <v>23</v>
      </c>
      <c r="E594" t="s">
        <v>24</v>
      </c>
      <c r="F594" t="s">
        <v>45</v>
      </c>
      <c r="G594" t="s">
        <v>46</v>
      </c>
      <c r="H594" t="s">
        <v>106</v>
      </c>
      <c r="I594" t="s">
        <v>169</v>
      </c>
      <c r="J594">
        <v>3</v>
      </c>
      <c r="K594">
        <v>22475.54</v>
      </c>
      <c r="L594">
        <v>25</v>
      </c>
      <c r="M594">
        <v>67426.62</v>
      </c>
      <c r="N594">
        <v>52232.72</v>
      </c>
      <c r="O594">
        <v>15193.9</v>
      </c>
      <c r="P594" t="s">
        <v>41</v>
      </c>
      <c r="Q594">
        <v>1.6</v>
      </c>
      <c r="R594" t="s">
        <v>30</v>
      </c>
      <c r="S594" t="s">
        <v>94</v>
      </c>
      <c r="T594">
        <v>2024</v>
      </c>
    </row>
    <row r="595" spans="1:20" x14ac:dyDescent="0.3">
      <c r="A595" t="s">
        <v>1016</v>
      </c>
      <c r="B595" t="s">
        <v>638</v>
      </c>
      <c r="C595" t="s">
        <v>200</v>
      </c>
      <c r="D595" t="s">
        <v>69</v>
      </c>
      <c r="E595" t="s">
        <v>155</v>
      </c>
      <c r="F595" t="s">
        <v>54</v>
      </c>
      <c r="G595" t="s">
        <v>55</v>
      </c>
      <c r="H595" t="s">
        <v>91</v>
      </c>
      <c r="I595" t="s">
        <v>180</v>
      </c>
      <c r="J595">
        <v>2</v>
      </c>
      <c r="K595">
        <v>19218.55</v>
      </c>
      <c r="L595">
        <v>15</v>
      </c>
      <c r="M595">
        <v>38437.1</v>
      </c>
      <c r="N595">
        <v>28696.76</v>
      </c>
      <c r="O595">
        <v>9740.34</v>
      </c>
      <c r="P595" t="s">
        <v>73</v>
      </c>
      <c r="Q595">
        <v>4.5</v>
      </c>
      <c r="R595" t="s">
        <v>30</v>
      </c>
      <c r="S595" t="s">
        <v>31</v>
      </c>
      <c r="T595">
        <v>2024</v>
      </c>
    </row>
    <row r="596" spans="1:20" x14ac:dyDescent="0.3">
      <c r="A596" t="s">
        <v>1017</v>
      </c>
      <c r="B596" t="s">
        <v>167</v>
      </c>
      <c r="C596" t="s">
        <v>61</v>
      </c>
      <c r="D596" t="s">
        <v>52</v>
      </c>
      <c r="E596" t="s">
        <v>110</v>
      </c>
      <c r="F596" t="s">
        <v>54</v>
      </c>
      <c r="G596" t="s">
        <v>201</v>
      </c>
      <c r="H596" t="s">
        <v>56</v>
      </c>
      <c r="I596" t="s">
        <v>93</v>
      </c>
      <c r="J596">
        <v>5</v>
      </c>
      <c r="K596">
        <v>31162.39</v>
      </c>
      <c r="L596">
        <v>30</v>
      </c>
      <c r="M596">
        <v>155811.95000000001</v>
      </c>
      <c r="N596">
        <v>131143.26999999999</v>
      </c>
      <c r="O596">
        <v>24668.68</v>
      </c>
      <c r="P596" t="s">
        <v>122</v>
      </c>
      <c r="Q596">
        <v>3.4</v>
      </c>
      <c r="R596" t="s">
        <v>30</v>
      </c>
      <c r="S596" t="s">
        <v>107</v>
      </c>
      <c r="T596">
        <v>2024</v>
      </c>
    </row>
    <row r="597" spans="1:20" x14ac:dyDescent="0.3">
      <c r="A597" t="s">
        <v>1018</v>
      </c>
      <c r="B597" t="s">
        <v>551</v>
      </c>
      <c r="C597" t="s">
        <v>97</v>
      </c>
      <c r="D597" t="s">
        <v>23</v>
      </c>
      <c r="E597" t="s">
        <v>24</v>
      </c>
      <c r="F597" t="s">
        <v>45</v>
      </c>
      <c r="G597" t="s">
        <v>105</v>
      </c>
      <c r="H597" t="s">
        <v>176</v>
      </c>
      <c r="I597" t="s">
        <v>101</v>
      </c>
      <c r="J597">
        <v>1</v>
      </c>
      <c r="K597">
        <v>16017.54</v>
      </c>
      <c r="L597">
        <v>10</v>
      </c>
      <c r="M597">
        <v>16017.54</v>
      </c>
      <c r="N597">
        <v>12576.71</v>
      </c>
      <c r="O597">
        <v>3440.83</v>
      </c>
      <c r="P597" t="s">
        <v>41</v>
      </c>
      <c r="Q597">
        <v>3.5</v>
      </c>
      <c r="R597" t="s">
        <v>30</v>
      </c>
      <c r="S597" t="s">
        <v>119</v>
      </c>
      <c r="T597">
        <v>2024</v>
      </c>
    </row>
    <row r="598" spans="1:20" x14ac:dyDescent="0.3">
      <c r="A598" t="s">
        <v>1019</v>
      </c>
      <c r="B598" t="s">
        <v>261</v>
      </c>
      <c r="C598" t="s">
        <v>116</v>
      </c>
      <c r="D598" t="s">
        <v>132</v>
      </c>
      <c r="E598" t="s">
        <v>133</v>
      </c>
      <c r="F598" t="s">
        <v>62</v>
      </c>
      <c r="G598" t="s">
        <v>63</v>
      </c>
      <c r="H598" t="s">
        <v>64</v>
      </c>
      <c r="I598" t="s">
        <v>165</v>
      </c>
      <c r="J598">
        <v>4</v>
      </c>
      <c r="K598">
        <v>19008.810000000001</v>
      </c>
      <c r="L598">
        <v>15</v>
      </c>
      <c r="M598">
        <v>76035.240000000005</v>
      </c>
      <c r="N598">
        <v>63872.13</v>
      </c>
      <c r="O598">
        <v>12163.11</v>
      </c>
      <c r="P598" t="s">
        <v>113</v>
      </c>
      <c r="Q598">
        <v>4.2</v>
      </c>
      <c r="R598" t="s">
        <v>30</v>
      </c>
      <c r="S598" t="s">
        <v>78</v>
      </c>
      <c r="T598">
        <v>2024</v>
      </c>
    </row>
    <row r="599" spans="1:20" x14ac:dyDescent="0.3">
      <c r="A599" t="s">
        <v>1020</v>
      </c>
      <c r="B599" t="s">
        <v>457</v>
      </c>
      <c r="C599" t="s">
        <v>22</v>
      </c>
      <c r="D599" t="s">
        <v>35</v>
      </c>
      <c r="E599" t="s">
        <v>36</v>
      </c>
      <c r="F599" t="s">
        <v>54</v>
      </c>
      <c r="G599" t="s">
        <v>55</v>
      </c>
      <c r="H599" t="s">
        <v>91</v>
      </c>
      <c r="I599" t="s">
        <v>180</v>
      </c>
      <c r="J599">
        <v>3</v>
      </c>
      <c r="K599">
        <v>22353.43</v>
      </c>
      <c r="L599">
        <v>20</v>
      </c>
      <c r="M599">
        <v>67060.289999999994</v>
      </c>
      <c r="N599">
        <v>51328.38</v>
      </c>
      <c r="O599">
        <v>15731.91</v>
      </c>
      <c r="P599" t="s">
        <v>29</v>
      </c>
      <c r="Q599">
        <v>1.3</v>
      </c>
      <c r="R599" t="s">
        <v>30</v>
      </c>
      <c r="S599" t="s">
        <v>42</v>
      </c>
      <c r="T599">
        <v>2024</v>
      </c>
    </row>
    <row r="600" spans="1:20" x14ac:dyDescent="0.3">
      <c r="A600" t="s">
        <v>1021</v>
      </c>
      <c r="B600" t="s">
        <v>519</v>
      </c>
      <c r="C600" t="s">
        <v>34</v>
      </c>
      <c r="D600" t="s">
        <v>35</v>
      </c>
      <c r="E600" t="s">
        <v>36</v>
      </c>
      <c r="F600" t="s">
        <v>62</v>
      </c>
      <c r="G600" t="s">
        <v>63</v>
      </c>
      <c r="H600" t="s">
        <v>72</v>
      </c>
      <c r="I600" t="s">
        <v>65</v>
      </c>
      <c r="J600">
        <v>5</v>
      </c>
      <c r="K600">
        <v>30122.28</v>
      </c>
      <c r="L600">
        <v>15</v>
      </c>
      <c r="M600">
        <v>150611.4</v>
      </c>
      <c r="N600">
        <v>111135.99</v>
      </c>
      <c r="O600">
        <v>39475.410000000003</v>
      </c>
      <c r="P600" t="s">
        <v>41</v>
      </c>
      <c r="Q600">
        <v>4.8</v>
      </c>
      <c r="R600" t="s">
        <v>30</v>
      </c>
      <c r="S600" t="s">
        <v>87</v>
      </c>
      <c r="T600">
        <v>2025</v>
      </c>
    </row>
    <row r="601" spans="1:20" x14ac:dyDescent="0.3">
      <c r="A601" t="s">
        <v>1022</v>
      </c>
      <c r="B601" t="s">
        <v>598</v>
      </c>
      <c r="C601" t="s">
        <v>136</v>
      </c>
      <c r="D601" t="s">
        <v>35</v>
      </c>
      <c r="E601" t="s">
        <v>36</v>
      </c>
      <c r="F601" t="s">
        <v>54</v>
      </c>
      <c r="G601" t="s">
        <v>55</v>
      </c>
      <c r="H601" t="s">
        <v>92</v>
      </c>
      <c r="I601" t="s">
        <v>185</v>
      </c>
      <c r="J601">
        <v>5</v>
      </c>
      <c r="K601">
        <v>7289.72</v>
      </c>
      <c r="L601">
        <v>15</v>
      </c>
      <c r="M601">
        <v>36448.6</v>
      </c>
      <c r="N601">
        <v>30770.57</v>
      </c>
      <c r="O601">
        <v>5678.03</v>
      </c>
      <c r="P601" t="s">
        <v>73</v>
      </c>
      <c r="Q601">
        <v>1.9</v>
      </c>
      <c r="R601" t="s">
        <v>30</v>
      </c>
      <c r="S601" t="s">
        <v>49</v>
      </c>
      <c r="T601">
        <v>2024</v>
      </c>
    </row>
    <row r="602" spans="1:20" x14ac:dyDescent="0.3">
      <c r="A602" t="s">
        <v>1023</v>
      </c>
      <c r="B602" t="s">
        <v>813</v>
      </c>
      <c r="C602" t="s">
        <v>90</v>
      </c>
      <c r="D602" t="s">
        <v>98</v>
      </c>
      <c r="E602" t="s">
        <v>99</v>
      </c>
      <c r="F602" t="s">
        <v>54</v>
      </c>
      <c r="G602" t="s">
        <v>91</v>
      </c>
      <c r="H602" t="s">
        <v>56</v>
      </c>
      <c r="I602" t="s">
        <v>118</v>
      </c>
      <c r="J602">
        <v>4</v>
      </c>
      <c r="K602">
        <v>32122.43</v>
      </c>
      <c r="L602">
        <v>20</v>
      </c>
      <c r="M602">
        <v>128489.72</v>
      </c>
      <c r="N602">
        <v>84984.21</v>
      </c>
      <c r="O602">
        <v>43505.51</v>
      </c>
      <c r="P602" t="s">
        <v>113</v>
      </c>
      <c r="Q602">
        <v>2.8</v>
      </c>
      <c r="R602" t="s">
        <v>30</v>
      </c>
      <c r="S602" t="s">
        <v>102</v>
      </c>
      <c r="T602">
        <v>2024</v>
      </c>
    </row>
    <row r="603" spans="1:20" x14ac:dyDescent="0.3">
      <c r="A603" t="s">
        <v>1024</v>
      </c>
      <c r="B603" t="s">
        <v>905</v>
      </c>
      <c r="C603" t="s">
        <v>136</v>
      </c>
      <c r="D603" t="s">
        <v>125</v>
      </c>
      <c r="E603" t="s">
        <v>126</v>
      </c>
      <c r="F603" t="s">
        <v>37</v>
      </c>
      <c r="G603" t="s">
        <v>38</v>
      </c>
      <c r="H603" t="s">
        <v>77</v>
      </c>
      <c r="I603" t="s">
        <v>40</v>
      </c>
      <c r="J603">
        <v>3</v>
      </c>
      <c r="K603">
        <v>43852.34</v>
      </c>
      <c r="L603">
        <v>15</v>
      </c>
      <c r="M603">
        <v>131557.01999999999</v>
      </c>
      <c r="N603">
        <v>106178.28</v>
      </c>
      <c r="O603">
        <v>25378.74</v>
      </c>
      <c r="P603" t="s">
        <v>144</v>
      </c>
      <c r="Q603">
        <v>4.2</v>
      </c>
      <c r="R603" t="s">
        <v>30</v>
      </c>
      <c r="S603" t="s">
        <v>107</v>
      </c>
      <c r="T603">
        <v>2024</v>
      </c>
    </row>
    <row r="604" spans="1:20" x14ac:dyDescent="0.3">
      <c r="A604" t="s">
        <v>1025</v>
      </c>
      <c r="B604" t="s">
        <v>346</v>
      </c>
      <c r="C604" t="s">
        <v>61</v>
      </c>
      <c r="D604" t="s">
        <v>81</v>
      </c>
      <c r="E604" t="s">
        <v>149</v>
      </c>
      <c r="F604" t="s">
        <v>62</v>
      </c>
      <c r="G604" t="s">
        <v>63</v>
      </c>
      <c r="H604" t="s">
        <v>152</v>
      </c>
      <c r="I604" t="s">
        <v>165</v>
      </c>
      <c r="J604">
        <v>1</v>
      </c>
      <c r="K604">
        <v>23005.86</v>
      </c>
      <c r="L604">
        <v>15</v>
      </c>
      <c r="M604">
        <v>23005.86</v>
      </c>
      <c r="N604">
        <v>17165.91</v>
      </c>
      <c r="O604">
        <v>5839.95</v>
      </c>
      <c r="P604" t="s">
        <v>122</v>
      </c>
      <c r="Q604">
        <v>4.8</v>
      </c>
      <c r="R604" t="s">
        <v>30</v>
      </c>
      <c r="S604" t="s">
        <v>78</v>
      </c>
      <c r="T604">
        <v>2024</v>
      </c>
    </row>
    <row r="605" spans="1:20" x14ac:dyDescent="0.3">
      <c r="A605" t="s">
        <v>1026</v>
      </c>
      <c r="B605" t="s">
        <v>205</v>
      </c>
      <c r="C605" t="s">
        <v>116</v>
      </c>
      <c r="D605" t="s">
        <v>69</v>
      </c>
      <c r="E605" t="s">
        <v>70</v>
      </c>
      <c r="F605" t="s">
        <v>37</v>
      </c>
      <c r="G605" t="s">
        <v>38</v>
      </c>
      <c r="H605" t="s">
        <v>77</v>
      </c>
      <c r="I605" t="s">
        <v>40</v>
      </c>
      <c r="J605">
        <v>1</v>
      </c>
      <c r="K605">
        <v>48580.6</v>
      </c>
      <c r="L605">
        <v>15</v>
      </c>
      <c r="M605">
        <v>48580.6</v>
      </c>
      <c r="N605">
        <v>40633.06</v>
      </c>
      <c r="O605">
        <v>7947.54</v>
      </c>
      <c r="P605" t="s">
        <v>41</v>
      </c>
      <c r="Q605">
        <v>3</v>
      </c>
      <c r="R605" t="s">
        <v>159</v>
      </c>
      <c r="S605" t="s">
        <v>74</v>
      </c>
      <c r="T605">
        <v>2024</v>
      </c>
    </row>
    <row r="606" spans="1:20" x14ac:dyDescent="0.3">
      <c r="A606" t="s">
        <v>1027</v>
      </c>
      <c r="B606" t="s">
        <v>1028</v>
      </c>
      <c r="C606" t="s">
        <v>61</v>
      </c>
      <c r="D606" t="s">
        <v>52</v>
      </c>
      <c r="E606" t="s">
        <v>110</v>
      </c>
      <c r="F606" t="s">
        <v>45</v>
      </c>
      <c r="G606" t="s">
        <v>46</v>
      </c>
      <c r="H606" t="s">
        <v>47</v>
      </c>
      <c r="I606" t="s">
        <v>169</v>
      </c>
      <c r="J606">
        <v>5</v>
      </c>
      <c r="K606">
        <v>10320.870000000001</v>
      </c>
      <c r="L606">
        <v>10</v>
      </c>
      <c r="M606">
        <v>51604.35</v>
      </c>
      <c r="N606">
        <v>38343.21</v>
      </c>
      <c r="O606">
        <v>13261.14</v>
      </c>
      <c r="P606" t="s">
        <v>73</v>
      </c>
      <c r="Q606">
        <v>2.8</v>
      </c>
      <c r="R606" t="s">
        <v>30</v>
      </c>
      <c r="S606" t="s">
        <v>102</v>
      </c>
      <c r="T606">
        <v>2025</v>
      </c>
    </row>
    <row r="607" spans="1:20" x14ac:dyDescent="0.3">
      <c r="A607" t="s">
        <v>1029</v>
      </c>
      <c r="B607" t="s">
        <v>1030</v>
      </c>
      <c r="C607" t="s">
        <v>200</v>
      </c>
      <c r="D607" t="s">
        <v>125</v>
      </c>
      <c r="E607" t="s">
        <v>139</v>
      </c>
      <c r="F607" t="s">
        <v>62</v>
      </c>
      <c r="G607" t="s">
        <v>71</v>
      </c>
      <c r="H607" t="s">
        <v>64</v>
      </c>
      <c r="I607" t="s">
        <v>143</v>
      </c>
      <c r="J607">
        <v>1</v>
      </c>
      <c r="K607">
        <v>43149.24</v>
      </c>
      <c r="L607">
        <v>20</v>
      </c>
      <c r="M607">
        <v>43149.24</v>
      </c>
      <c r="N607">
        <v>32029.360000000001</v>
      </c>
      <c r="O607">
        <v>11119.88</v>
      </c>
      <c r="P607" t="s">
        <v>41</v>
      </c>
      <c r="Q607">
        <v>1.9</v>
      </c>
      <c r="R607" t="s">
        <v>30</v>
      </c>
      <c r="S607" t="s">
        <v>78</v>
      </c>
      <c r="T607">
        <v>2024</v>
      </c>
    </row>
    <row r="608" spans="1:20" x14ac:dyDescent="0.3">
      <c r="A608" t="s">
        <v>1031</v>
      </c>
      <c r="B608" t="s">
        <v>1032</v>
      </c>
      <c r="C608" t="s">
        <v>34</v>
      </c>
      <c r="D608" t="s">
        <v>98</v>
      </c>
      <c r="E608" t="s">
        <v>99</v>
      </c>
      <c r="F608" t="s">
        <v>25</v>
      </c>
      <c r="G608" t="s">
        <v>26</v>
      </c>
      <c r="H608" t="s">
        <v>235</v>
      </c>
      <c r="I608" t="s">
        <v>28</v>
      </c>
      <c r="J608">
        <v>4</v>
      </c>
      <c r="K608">
        <v>567.80999999999995</v>
      </c>
      <c r="L608">
        <v>15</v>
      </c>
      <c r="M608">
        <v>2271.2399999999998</v>
      </c>
      <c r="N608">
        <v>1748.45</v>
      </c>
      <c r="O608">
        <v>522.79</v>
      </c>
      <c r="P608" t="s">
        <v>73</v>
      </c>
      <c r="Q608">
        <v>4.5</v>
      </c>
      <c r="R608" t="s">
        <v>30</v>
      </c>
      <c r="S608" t="s">
        <v>87</v>
      </c>
      <c r="T608">
        <v>2025</v>
      </c>
    </row>
    <row r="609" spans="1:20" x14ac:dyDescent="0.3">
      <c r="A609" t="s">
        <v>1033</v>
      </c>
      <c r="B609" t="s">
        <v>576</v>
      </c>
      <c r="C609" t="s">
        <v>200</v>
      </c>
      <c r="D609" t="s">
        <v>69</v>
      </c>
      <c r="E609" t="s">
        <v>155</v>
      </c>
      <c r="F609" t="s">
        <v>25</v>
      </c>
      <c r="G609" t="s">
        <v>111</v>
      </c>
      <c r="H609" t="s">
        <v>121</v>
      </c>
      <c r="I609" t="s">
        <v>112</v>
      </c>
      <c r="J609">
        <v>5</v>
      </c>
      <c r="K609">
        <v>6705.43</v>
      </c>
      <c r="L609">
        <v>15</v>
      </c>
      <c r="M609">
        <v>33527.15</v>
      </c>
      <c r="N609">
        <v>25570.51</v>
      </c>
      <c r="O609">
        <v>7956.64</v>
      </c>
      <c r="P609" t="s">
        <v>73</v>
      </c>
      <c r="Q609">
        <v>4.5</v>
      </c>
      <c r="R609" t="s">
        <v>159</v>
      </c>
      <c r="S609" t="s">
        <v>31</v>
      </c>
      <c r="T609">
        <v>2024</v>
      </c>
    </row>
    <row r="610" spans="1:20" x14ac:dyDescent="0.3">
      <c r="A610" t="s">
        <v>1034</v>
      </c>
      <c r="B610" t="s">
        <v>385</v>
      </c>
      <c r="C610" t="s">
        <v>136</v>
      </c>
      <c r="D610" t="s">
        <v>125</v>
      </c>
      <c r="E610" t="s">
        <v>126</v>
      </c>
      <c r="F610" t="s">
        <v>37</v>
      </c>
      <c r="G610" t="s">
        <v>38</v>
      </c>
      <c r="H610" t="s">
        <v>140</v>
      </c>
      <c r="I610" t="s">
        <v>40</v>
      </c>
      <c r="J610">
        <v>5</v>
      </c>
      <c r="K610">
        <v>29974.35</v>
      </c>
      <c r="L610">
        <v>10</v>
      </c>
      <c r="M610">
        <v>149871.75</v>
      </c>
      <c r="N610">
        <v>113512.54</v>
      </c>
      <c r="O610">
        <v>36359.21</v>
      </c>
      <c r="P610" t="s">
        <v>73</v>
      </c>
      <c r="Q610">
        <v>3.1</v>
      </c>
      <c r="R610" t="s">
        <v>30</v>
      </c>
      <c r="S610" t="s">
        <v>87</v>
      </c>
      <c r="T610">
        <v>2025</v>
      </c>
    </row>
    <row r="611" spans="1:20" x14ac:dyDescent="0.3">
      <c r="A611" t="s">
        <v>1035</v>
      </c>
      <c r="B611" t="s">
        <v>182</v>
      </c>
      <c r="C611" t="s">
        <v>97</v>
      </c>
      <c r="D611" t="s">
        <v>23</v>
      </c>
      <c r="E611" t="s">
        <v>24</v>
      </c>
      <c r="F611" t="s">
        <v>54</v>
      </c>
      <c r="G611" t="s">
        <v>55</v>
      </c>
      <c r="H611" t="s">
        <v>92</v>
      </c>
      <c r="I611" t="s">
        <v>180</v>
      </c>
      <c r="J611">
        <v>4</v>
      </c>
      <c r="K611">
        <v>5739.3</v>
      </c>
      <c r="L611">
        <v>20</v>
      </c>
      <c r="M611">
        <v>22957.200000000001</v>
      </c>
      <c r="N611">
        <v>15080.54</v>
      </c>
      <c r="O611">
        <v>7876.66</v>
      </c>
      <c r="P611" t="s">
        <v>122</v>
      </c>
      <c r="Q611">
        <v>4.5999999999999996</v>
      </c>
      <c r="R611" t="s">
        <v>30</v>
      </c>
      <c r="S611" t="s">
        <v>78</v>
      </c>
      <c r="T611">
        <v>2024</v>
      </c>
    </row>
    <row r="612" spans="1:20" x14ac:dyDescent="0.3">
      <c r="A612" t="s">
        <v>1036</v>
      </c>
      <c r="B612" t="s">
        <v>1037</v>
      </c>
      <c r="C612" t="s">
        <v>200</v>
      </c>
      <c r="D612" t="s">
        <v>69</v>
      </c>
      <c r="E612" t="s">
        <v>155</v>
      </c>
      <c r="F612" t="s">
        <v>37</v>
      </c>
      <c r="G612" t="s">
        <v>38</v>
      </c>
      <c r="H612" t="s">
        <v>39</v>
      </c>
      <c r="I612" t="s">
        <v>40</v>
      </c>
      <c r="J612">
        <v>4</v>
      </c>
      <c r="K612">
        <v>21417.72</v>
      </c>
      <c r="L612">
        <v>20</v>
      </c>
      <c r="M612">
        <v>85670.88</v>
      </c>
      <c r="N612">
        <v>64745.31</v>
      </c>
      <c r="O612">
        <v>20925.57</v>
      </c>
      <c r="P612" t="s">
        <v>29</v>
      </c>
      <c r="Q612">
        <v>4.5</v>
      </c>
      <c r="R612" t="s">
        <v>30</v>
      </c>
      <c r="S612" t="s">
        <v>78</v>
      </c>
      <c r="T612">
        <v>2024</v>
      </c>
    </row>
    <row r="613" spans="1:20" x14ac:dyDescent="0.3">
      <c r="A613" t="s">
        <v>1038</v>
      </c>
      <c r="B613" t="s">
        <v>370</v>
      </c>
      <c r="C613" t="s">
        <v>22</v>
      </c>
      <c r="D613" t="s">
        <v>81</v>
      </c>
      <c r="E613" t="s">
        <v>128</v>
      </c>
      <c r="F613" t="s">
        <v>62</v>
      </c>
      <c r="G613" t="s">
        <v>71</v>
      </c>
      <c r="H613" t="s">
        <v>83</v>
      </c>
      <c r="I613" t="s">
        <v>165</v>
      </c>
      <c r="J613">
        <v>4</v>
      </c>
      <c r="K613">
        <v>25404.68</v>
      </c>
      <c r="L613">
        <v>15</v>
      </c>
      <c r="M613">
        <v>101618.72</v>
      </c>
      <c r="N613">
        <v>77171.31</v>
      </c>
      <c r="O613">
        <v>24447.41</v>
      </c>
      <c r="P613" t="s">
        <v>122</v>
      </c>
      <c r="Q613">
        <v>4.5999999999999996</v>
      </c>
      <c r="R613" t="s">
        <v>30</v>
      </c>
      <c r="S613" t="s">
        <v>87</v>
      </c>
      <c r="T613">
        <v>2025</v>
      </c>
    </row>
    <row r="614" spans="1:20" x14ac:dyDescent="0.3">
      <c r="A614" t="s">
        <v>1039</v>
      </c>
      <c r="B614" t="s">
        <v>265</v>
      </c>
      <c r="C614" t="s">
        <v>136</v>
      </c>
      <c r="D614" t="s">
        <v>132</v>
      </c>
      <c r="E614" t="s">
        <v>158</v>
      </c>
      <c r="F614" t="s">
        <v>62</v>
      </c>
      <c r="G614" t="s">
        <v>71</v>
      </c>
      <c r="H614" t="s">
        <v>72</v>
      </c>
      <c r="I614" t="s">
        <v>165</v>
      </c>
      <c r="J614">
        <v>2</v>
      </c>
      <c r="K614">
        <v>27582.01</v>
      </c>
      <c r="L614">
        <v>30</v>
      </c>
      <c r="M614">
        <v>55164.02</v>
      </c>
      <c r="N614">
        <v>41319.79</v>
      </c>
      <c r="O614">
        <v>13844.23</v>
      </c>
      <c r="P614" t="s">
        <v>29</v>
      </c>
      <c r="Q614">
        <v>1.5</v>
      </c>
      <c r="R614" t="s">
        <v>159</v>
      </c>
      <c r="S614" t="s">
        <v>102</v>
      </c>
      <c r="T614">
        <v>2024</v>
      </c>
    </row>
    <row r="615" spans="1:20" x14ac:dyDescent="0.3">
      <c r="A615" t="s">
        <v>1040</v>
      </c>
      <c r="B615" t="s">
        <v>319</v>
      </c>
      <c r="C615" t="s">
        <v>200</v>
      </c>
      <c r="D615" t="s">
        <v>132</v>
      </c>
      <c r="E615" t="s">
        <v>133</v>
      </c>
      <c r="F615" t="s">
        <v>62</v>
      </c>
      <c r="G615" t="s">
        <v>71</v>
      </c>
      <c r="H615" t="s">
        <v>152</v>
      </c>
      <c r="I615" t="s">
        <v>65</v>
      </c>
      <c r="J615">
        <v>3</v>
      </c>
      <c r="K615">
        <v>23584.89</v>
      </c>
      <c r="L615">
        <v>30</v>
      </c>
      <c r="M615">
        <v>70754.67</v>
      </c>
      <c r="N615">
        <v>50785.57</v>
      </c>
      <c r="O615">
        <v>19969.099999999999</v>
      </c>
      <c r="P615" t="s">
        <v>73</v>
      </c>
      <c r="Q615">
        <v>4.0999999999999996</v>
      </c>
      <c r="R615" t="s">
        <v>30</v>
      </c>
      <c r="S615" t="s">
        <v>78</v>
      </c>
      <c r="T615">
        <v>2024</v>
      </c>
    </row>
    <row r="616" spans="1:20" x14ac:dyDescent="0.3">
      <c r="A616" t="s">
        <v>1041</v>
      </c>
      <c r="B616" t="s">
        <v>1042</v>
      </c>
      <c r="C616" t="s">
        <v>80</v>
      </c>
      <c r="D616" t="s">
        <v>23</v>
      </c>
      <c r="E616" t="s">
        <v>24</v>
      </c>
      <c r="F616" t="s">
        <v>25</v>
      </c>
      <c r="G616" t="s">
        <v>26</v>
      </c>
      <c r="H616" t="s">
        <v>27</v>
      </c>
      <c r="I616" t="s">
        <v>112</v>
      </c>
      <c r="J616">
        <v>3</v>
      </c>
      <c r="K616">
        <v>24444.89</v>
      </c>
      <c r="L616">
        <v>20</v>
      </c>
      <c r="M616">
        <v>73334.67</v>
      </c>
      <c r="N616">
        <v>58269.66</v>
      </c>
      <c r="O616">
        <v>15065.01</v>
      </c>
      <c r="P616" t="s">
        <v>73</v>
      </c>
      <c r="Q616">
        <v>1.2</v>
      </c>
      <c r="R616" t="s">
        <v>30</v>
      </c>
      <c r="S616" t="s">
        <v>162</v>
      </c>
      <c r="T616">
        <v>2024</v>
      </c>
    </row>
    <row r="617" spans="1:20" x14ac:dyDescent="0.3">
      <c r="A617" t="s">
        <v>1043</v>
      </c>
      <c r="B617" t="s">
        <v>655</v>
      </c>
      <c r="C617" t="s">
        <v>97</v>
      </c>
      <c r="D617" t="s">
        <v>132</v>
      </c>
      <c r="E617" t="s">
        <v>133</v>
      </c>
      <c r="F617" t="s">
        <v>37</v>
      </c>
      <c r="G617" t="s">
        <v>38</v>
      </c>
      <c r="H617" t="s">
        <v>327</v>
      </c>
      <c r="I617" t="s">
        <v>40</v>
      </c>
      <c r="J617">
        <v>2</v>
      </c>
      <c r="K617">
        <v>8080.22</v>
      </c>
      <c r="L617">
        <v>20</v>
      </c>
      <c r="M617">
        <v>16160.44</v>
      </c>
      <c r="N617">
        <v>13447.45</v>
      </c>
      <c r="O617">
        <v>2712.99</v>
      </c>
      <c r="P617" t="s">
        <v>29</v>
      </c>
      <c r="Q617">
        <v>3.6</v>
      </c>
      <c r="R617" t="s">
        <v>30</v>
      </c>
      <c r="S617" t="s">
        <v>94</v>
      </c>
      <c r="T617">
        <v>2024</v>
      </c>
    </row>
    <row r="618" spans="1:20" x14ac:dyDescent="0.3">
      <c r="A618" t="s">
        <v>1044</v>
      </c>
      <c r="B618" t="s">
        <v>321</v>
      </c>
      <c r="C618" t="s">
        <v>168</v>
      </c>
      <c r="D618" t="s">
        <v>125</v>
      </c>
      <c r="E618" t="s">
        <v>139</v>
      </c>
      <c r="F618" t="s">
        <v>45</v>
      </c>
      <c r="G618" t="s">
        <v>105</v>
      </c>
      <c r="H618" t="s">
        <v>106</v>
      </c>
      <c r="I618" t="s">
        <v>169</v>
      </c>
      <c r="J618">
        <v>2</v>
      </c>
      <c r="K618">
        <v>27860.799999999999</v>
      </c>
      <c r="L618">
        <v>25</v>
      </c>
      <c r="M618">
        <v>55721.599999999999</v>
      </c>
      <c r="N618">
        <v>43736.03</v>
      </c>
      <c r="O618">
        <v>11985.57</v>
      </c>
      <c r="P618" t="s">
        <v>122</v>
      </c>
      <c r="Q618">
        <v>2.6</v>
      </c>
      <c r="R618" t="s">
        <v>30</v>
      </c>
      <c r="S618" t="s">
        <v>78</v>
      </c>
      <c r="T618">
        <v>2024</v>
      </c>
    </row>
    <row r="619" spans="1:20" x14ac:dyDescent="0.3">
      <c r="A619" t="s">
        <v>1045</v>
      </c>
      <c r="B619" t="s">
        <v>190</v>
      </c>
      <c r="C619" t="s">
        <v>22</v>
      </c>
      <c r="D619" t="s">
        <v>69</v>
      </c>
      <c r="E619" t="s">
        <v>70</v>
      </c>
      <c r="F619" t="s">
        <v>25</v>
      </c>
      <c r="G619" t="s">
        <v>26</v>
      </c>
      <c r="H619" t="s">
        <v>221</v>
      </c>
      <c r="I619" t="s">
        <v>112</v>
      </c>
      <c r="J619">
        <v>3</v>
      </c>
      <c r="K619">
        <v>30468.47</v>
      </c>
      <c r="L619">
        <v>15</v>
      </c>
      <c r="M619">
        <v>91405.41</v>
      </c>
      <c r="N619">
        <v>68894.66</v>
      </c>
      <c r="O619">
        <v>22510.75</v>
      </c>
      <c r="P619" t="s">
        <v>122</v>
      </c>
      <c r="Q619">
        <v>1.7</v>
      </c>
      <c r="R619" t="s">
        <v>30</v>
      </c>
      <c r="S619" t="s">
        <v>119</v>
      </c>
      <c r="T619">
        <v>2024</v>
      </c>
    </row>
    <row r="620" spans="1:20" x14ac:dyDescent="0.3">
      <c r="A620" t="s">
        <v>1046</v>
      </c>
      <c r="B620" t="s">
        <v>521</v>
      </c>
      <c r="C620" t="s">
        <v>136</v>
      </c>
      <c r="D620" t="s">
        <v>52</v>
      </c>
      <c r="E620" t="s">
        <v>110</v>
      </c>
      <c r="F620" t="s">
        <v>45</v>
      </c>
      <c r="G620" t="s">
        <v>105</v>
      </c>
      <c r="H620" t="s">
        <v>106</v>
      </c>
      <c r="I620" t="s">
        <v>169</v>
      </c>
      <c r="J620">
        <v>1</v>
      </c>
      <c r="K620">
        <v>7718.78</v>
      </c>
      <c r="L620">
        <v>10</v>
      </c>
      <c r="M620">
        <v>7718.78</v>
      </c>
      <c r="N620">
        <v>6028.13</v>
      </c>
      <c r="O620">
        <v>1690.65</v>
      </c>
      <c r="P620" t="s">
        <v>29</v>
      </c>
      <c r="Q620">
        <v>1.1000000000000001</v>
      </c>
      <c r="R620" t="s">
        <v>159</v>
      </c>
      <c r="S620" t="s">
        <v>42</v>
      </c>
      <c r="T620">
        <v>2024</v>
      </c>
    </row>
    <row r="621" spans="1:20" x14ac:dyDescent="0.3">
      <c r="A621" t="s">
        <v>1047</v>
      </c>
      <c r="B621" t="s">
        <v>33</v>
      </c>
      <c r="C621" t="s">
        <v>22</v>
      </c>
      <c r="D621" t="s">
        <v>69</v>
      </c>
      <c r="E621" t="s">
        <v>70</v>
      </c>
      <c r="F621" t="s">
        <v>45</v>
      </c>
      <c r="G621" t="s">
        <v>46</v>
      </c>
      <c r="H621" t="s">
        <v>47</v>
      </c>
      <c r="I621" t="s">
        <v>169</v>
      </c>
      <c r="J621">
        <v>1</v>
      </c>
      <c r="K621">
        <v>34866.42</v>
      </c>
      <c r="L621">
        <v>25</v>
      </c>
      <c r="M621">
        <v>34866.42</v>
      </c>
      <c r="N621">
        <v>28849.89</v>
      </c>
      <c r="O621">
        <v>6016.53</v>
      </c>
      <c r="P621" t="s">
        <v>113</v>
      </c>
      <c r="Q621">
        <v>3.6</v>
      </c>
      <c r="R621" t="s">
        <v>30</v>
      </c>
      <c r="S621" t="s">
        <v>42</v>
      </c>
      <c r="T621">
        <v>2024</v>
      </c>
    </row>
    <row r="622" spans="1:20" x14ac:dyDescent="0.3">
      <c r="A622" t="s">
        <v>1048</v>
      </c>
      <c r="B622" t="s">
        <v>205</v>
      </c>
      <c r="C622" t="s">
        <v>34</v>
      </c>
      <c r="D622" t="s">
        <v>69</v>
      </c>
      <c r="E622" t="s">
        <v>70</v>
      </c>
      <c r="F622" t="s">
        <v>37</v>
      </c>
      <c r="G622" t="s">
        <v>38</v>
      </c>
      <c r="H622" t="s">
        <v>77</v>
      </c>
      <c r="I622" t="s">
        <v>40</v>
      </c>
      <c r="J622">
        <v>1</v>
      </c>
      <c r="K622">
        <v>5369.5</v>
      </c>
      <c r="L622">
        <v>5</v>
      </c>
      <c r="M622">
        <v>5369.5</v>
      </c>
      <c r="N622">
        <v>4241.09</v>
      </c>
      <c r="O622">
        <v>1128.4100000000001</v>
      </c>
      <c r="P622" t="s">
        <v>113</v>
      </c>
      <c r="Q622">
        <v>3.2</v>
      </c>
      <c r="R622" t="s">
        <v>30</v>
      </c>
      <c r="S622" t="s">
        <v>74</v>
      </c>
      <c r="T622">
        <v>2024</v>
      </c>
    </row>
    <row r="623" spans="1:20" x14ac:dyDescent="0.3">
      <c r="A623" t="s">
        <v>1049</v>
      </c>
      <c r="B623" t="s">
        <v>208</v>
      </c>
      <c r="C623" t="s">
        <v>61</v>
      </c>
      <c r="D623" t="s">
        <v>81</v>
      </c>
      <c r="E623" t="s">
        <v>82</v>
      </c>
      <c r="F623" t="s">
        <v>45</v>
      </c>
      <c r="G623" t="s">
        <v>46</v>
      </c>
      <c r="H623" t="s">
        <v>100</v>
      </c>
      <c r="I623" t="s">
        <v>169</v>
      </c>
      <c r="J623">
        <v>5</v>
      </c>
      <c r="K623">
        <v>18338.759999999998</v>
      </c>
      <c r="L623">
        <v>30</v>
      </c>
      <c r="M623">
        <v>91693.8</v>
      </c>
      <c r="N623">
        <v>68337.820000000007</v>
      </c>
      <c r="O623">
        <v>23355.98</v>
      </c>
      <c r="P623" t="s">
        <v>73</v>
      </c>
      <c r="Q623">
        <v>4</v>
      </c>
      <c r="R623" t="s">
        <v>30</v>
      </c>
      <c r="S623" t="s">
        <v>102</v>
      </c>
      <c r="T623">
        <v>2024</v>
      </c>
    </row>
    <row r="624" spans="1:20" x14ac:dyDescent="0.3">
      <c r="A624" t="s">
        <v>1050</v>
      </c>
      <c r="B624" t="s">
        <v>214</v>
      </c>
      <c r="C624" t="s">
        <v>80</v>
      </c>
      <c r="D624" t="s">
        <v>69</v>
      </c>
      <c r="E624" t="s">
        <v>70</v>
      </c>
      <c r="F624" t="s">
        <v>54</v>
      </c>
      <c r="G624" t="s">
        <v>201</v>
      </c>
      <c r="H624" t="s">
        <v>91</v>
      </c>
      <c r="I624" t="s">
        <v>57</v>
      </c>
      <c r="J624">
        <v>4</v>
      </c>
      <c r="K624">
        <v>48287.49</v>
      </c>
      <c r="L624">
        <v>15</v>
      </c>
      <c r="M624">
        <v>193149.96</v>
      </c>
      <c r="N624">
        <v>147650.67000000001</v>
      </c>
      <c r="O624">
        <v>45499.29</v>
      </c>
      <c r="P624" t="s">
        <v>41</v>
      </c>
      <c r="Q624">
        <v>1.1000000000000001</v>
      </c>
      <c r="R624" t="s">
        <v>66</v>
      </c>
      <c r="S624" t="s">
        <v>58</v>
      </c>
      <c r="T624">
        <v>2024</v>
      </c>
    </row>
    <row r="625" spans="1:20" x14ac:dyDescent="0.3">
      <c r="A625" t="s">
        <v>1051</v>
      </c>
      <c r="B625" t="s">
        <v>600</v>
      </c>
      <c r="C625" t="s">
        <v>22</v>
      </c>
      <c r="D625" t="s">
        <v>35</v>
      </c>
      <c r="E625" t="s">
        <v>36</v>
      </c>
      <c r="F625" t="s">
        <v>37</v>
      </c>
      <c r="G625" t="s">
        <v>38</v>
      </c>
      <c r="H625" t="s">
        <v>140</v>
      </c>
      <c r="I625" t="s">
        <v>40</v>
      </c>
      <c r="J625">
        <v>4</v>
      </c>
      <c r="K625">
        <v>18161.009999999998</v>
      </c>
      <c r="L625">
        <v>5</v>
      </c>
      <c r="M625">
        <v>72644.039999999994</v>
      </c>
      <c r="N625">
        <v>48296.82</v>
      </c>
      <c r="O625">
        <v>24347.22</v>
      </c>
      <c r="P625" t="s">
        <v>122</v>
      </c>
      <c r="Q625">
        <v>2.2999999999999998</v>
      </c>
      <c r="R625" t="s">
        <v>66</v>
      </c>
      <c r="S625" t="s">
        <v>78</v>
      </c>
      <c r="T625">
        <v>2024</v>
      </c>
    </row>
    <row r="626" spans="1:20" x14ac:dyDescent="0.3">
      <c r="A626" t="s">
        <v>1052</v>
      </c>
      <c r="B626" t="s">
        <v>321</v>
      </c>
      <c r="C626" t="s">
        <v>136</v>
      </c>
      <c r="D626" t="s">
        <v>81</v>
      </c>
      <c r="E626" t="s">
        <v>82</v>
      </c>
      <c r="F626" t="s">
        <v>37</v>
      </c>
      <c r="G626" t="s">
        <v>38</v>
      </c>
      <c r="H626" t="s">
        <v>39</v>
      </c>
      <c r="I626" t="s">
        <v>40</v>
      </c>
      <c r="J626">
        <v>3</v>
      </c>
      <c r="K626">
        <v>21064.01</v>
      </c>
      <c r="L626">
        <v>10</v>
      </c>
      <c r="M626">
        <v>63192.03</v>
      </c>
      <c r="N626">
        <v>41259.15</v>
      </c>
      <c r="O626">
        <v>21932.880000000001</v>
      </c>
      <c r="P626" t="s">
        <v>144</v>
      </c>
      <c r="Q626">
        <v>1.9</v>
      </c>
      <c r="R626" t="s">
        <v>30</v>
      </c>
      <c r="S626" t="s">
        <v>78</v>
      </c>
      <c r="T626">
        <v>2024</v>
      </c>
    </row>
    <row r="627" spans="1:20" x14ac:dyDescent="0.3">
      <c r="A627" t="s">
        <v>1053</v>
      </c>
      <c r="B627" t="s">
        <v>603</v>
      </c>
      <c r="C627" t="s">
        <v>168</v>
      </c>
      <c r="D627" t="s">
        <v>98</v>
      </c>
      <c r="E627" t="s">
        <v>99</v>
      </c>
      <c r="F627" t="s">
        <v>25</v>
      </c>
      <c r="G627" t="s">
        <v>26</v>
      </c>
      <c r="H627" t="s">
        <v>221</v>
      </c>
      <c r="I627" t="s">
        <v>28</v>
      </c>
      <c r="J627">
        <v>5</v>
      </c>
      <c r="K627">
        <v>8598.2199999999993</v>
      </c>
      <c r="L627">
        <v>20</v>
      </c>
      <c r="M627">
        <v>42991.1</v>
      </c>
      <c r="N627">
        <v>28903.98</v>
      </c>
      <c r="O627">
        <v>14087.12</v>
      </c>
      <c r="P627" t="s">
        <v>41</v>
      </c>
      <c r="Q627">
        <v>1.4</v>
      </c>
      <c r="R627" t="s">
        <v>30</v>
      </c>
      <c r="S627" t="s">
        <v>102</v>
      </c>
      <c r="T627">
        <v>2025</v>
      </c>
    </row>
    <row r="628" spans="1:20" x14ac:dyDescent="0.3">
      <c r="A628" t="s">
        <v>1054</v>
      </c>
      <c r="B628" t="s">
        <v>625</v>
      </c>
      <c r="C628" t="s">
        <v>168</v>
      </c>
      <c r="D628" t="s">
        <v>132</v>
      </c>
      <c r="E628" t="s">
        <v>133</v>
      </c>
      <c r="F628" t="s">
        <v>54</v>
      </c>
      <c r="G628" t="s">
        <v>55</v>
      </c>
      <c r="H628" t="s">
        <v>56</v>
      </c>
      <c r="I628" t="s">
        <v>180</v>
      </c>
      <c r="J628">
        <v>2</v>
      </c>
      <c r="K628">
        <v>27897.4</v>
      </c>
      <c r="L628">
        <v>25</v>
      </c>
      <c r="M628">
        <v>55794.8</v>
      </c>
      <c r="N628">
        <v>44558.29</v>
      </c>
      <c r="O628">
        <v>11236.51</v>
      </c>
      <c r="P628" t="s">
        <v>113</v>
      </c>
      <c r="Q628">
        <v>1.8</v>
      </c>
      <c r="R628" t="s">
        <v>30</v>
      </c>
      <c r="S628" t="s">
        <v>58</v>
      </c>
      <c r="T628">
        <v>2024</v>
      </c>
    </row>
    <row r="629" spans="1:20" x14ac:dyDescent="0.3">
      <c r="A629" t="s">
        <v>1055</v>
      </c>
      <c r="B629" t="s">
        <v>683</v>
      </c>
      <c r="C629" t="s">
        <v>116</v>
      </c>
      <c r="D629" t="s">
        <v>69</v>
      </c>
      <c r="E629" t="s">
        <v>155</v>
      </c>
      <c r="F629" t="s">
        <v>45</v>
      </c>
      <c r="G629" t="s">
        <v>46</v>
      </c>
      <c r="H629" t="s">
        <v>106</v>
      </c>
      <c r="I629" t="s">
        <v>101</v>
      </c>
      <c r="J629">
        <v>2</v>
      </c>
      <c r="K629">
        <v>3153.16</v>
      </c>
      <c r="L629">
        <v>10</v>
      </c>
      <c r="M629">
        <v>6306.32</v>
      </c>
      <c r="N629">
        <v>5143.76</v>
      </c>
      <c r="O629">
        <v>1162.56</v>
      </c>
      <c r="P629" t="s">
        <v>144</v>
      </c>
      <c r="Q629">
        <v>4.4000000000000004</v>
      </c>
      <c r="R629" t="s">
        <v>30</v>
      </c>
      <c r="S629" t="s">
        <v>162</v>
      </c>
      <c r="T629">
        <v>2024</v>
      </c>
    </row>
    <row r="630" spans="1:20" x14ac:dyDescent="0.3">
      <c r="A630" t="s">
        <v>1056</v>
      </c>
      <c r="B630" t="s">
        <v>178</v>
      </c>
      <c r="C630" t="s">
        <v>168</v>
      </c>
      <c r="D630" t="s">
        <v>125</v>
      </c>
      <c r="E630" t="s">
        <v>126</v>
      </c>
      <c r="F630" t="s">
        <v>54</v>
      </c>
      <c r="G630" t="s">
        <v>91</v>
      </c>
      <c r="H630" t="s">
        <v>91</v>
      </c>
      <c r="I630" t="s">
        <v>180</v>
      </c>
      <c r="J630">
        <v>1</v>
      </c>
      <c r="K630">
        <v>25634.9</v>
      </c>
      <c r="L630">
        <v>10</v>
      </c>
      <c r="M630">
        <v>25634.9</v>
      </c>
      <c r="N630">
        <v>20624.95</v>
      </c>
      <c r="O630">
        <v>5009.95</v>
      </c>
      <c r="P630" t="s">
        <v>144</v>
      </c>
      <c r="Q630">
        <v>4.3</v>
      </c>
      <c r="R630" t="s">
        <v>30</v>
      </c>
      <c r="S630" t="s">
        <v>74</v>
      </c>
      <c r="T630">
        <v>2024</v>
      </c>
    </row>
    <row r="631" spans="1:20" x14ac:dyDescent="0.3">
      <c r="A631" t="s">
        <v>1057</v>
      </c>
      <c r="B631" t="s">
        <v>1058</v>
      </c>
      <c r="C631" t="s">
        <v>80</v>
      </c>
      <c r="D631" t="s">
        <v>132</v>
      </c>
      <c r="E631" t="s">
        <v>158</v>
      </c>
      <c r="F631" t="s">
        <v>54</v>
      </c>
      <c r="G631" t="s">
        <v>91</v>
      </c>
      <c r="H631" t="s">
        <v>117</v>
      </c>
      <c r="I631" t="s">
        <v>180</v>
      </c>
      <c r="J631">
        <v>3</v>
      </c>
      <c r="K631">
        <v>9427.83</v>
      </c>
      <c r="L631">
        <v>15</v>
      </c>
      <c r="M631">
        <v>28283.49</v>
      </c>
      <c r="N631">
        <v>19756.169999999998</v>
      </c>
      <c r="O631">
        <v>8527.32</v>
      </c>
      <c r="P631" t="s">
        <v>144</v>
      </c>
      <c r="Q631">
        <v>4.2</v>
      </c>
      <c r="R631" t="s">
        <v>30</v>
      </c>
      <c r="S631" t="s">
        <v>119</v>
      </c>
      <c r="T631">
        <v>2024</v>
      </c>
    </row>
    <row r="632" spans="1:20" x14ac:dyDescent="0.3">
      <c r="A632" t="s">
        <v>1059</v>
      </c>
      <c r="B632" t="s">
        <v>667</v>
      </c>
      <c r="C632" t="s">
        <v>61</v>
      </c>
      <c r="D632" t="s">
        <v>69</v>
      </c>
      <c r="E632" t="s">
        <v>155</v>
      </c>
      <c r="F632" t="s">
        <v>45</v>
      </c>
      <c r="G632" t="s">
        <v>105</v>
      </c>
      <c r="H632" t="s">
        <v>188</v>
      </c>
      <c r="I632" t="s">
        <v>48</v>
      </c>
      <c r="J632">
        <v>1</v>
      </c>
      <c r="K632">
        <v>22564.13</v>
      </c>
      <c r="L632">
        <v>20</v>
      </c>
      <c r="M632">
        <v>22564.13</v>
      </c>
      <c r="N632">
        <v>18829.96</v>
      </c>
      <c r="O632">
        <v>3734.17</v>
      </c>
      <c r="P632" t="s">
        <v>73</v>
      </c>
      <c r="Q632">
        <v>3.2</v>
      </c>
      <c r="R632" t="s">
        <v>30</v>
      </c>
      <c r="S632" t="s">
        <v>74</v>
      </c>
      <c r="T632">
        <v>2024</v>
      </c>
    </row>
    <row r="633" spans="1:20" x14ac:dyDescent="0.3">
      <c r="A633" t="s">
        <v>1060</v>
      </c>
      <c r="B633" t="s">
        <v>609</v>
      </c>
      <c r="C633" t="s">
        <v>22</v>
      </c>
      <c r="D633" t="s">
        <v>98</v>
      </c>
      <c r="E633" t="s">
        <v>99</v>
      </c>
      <c r="F633" t="s">
        <v>37</v>
      </c>
      <c r="G633" t="s">
        <v>38</v>
      </c>
      <c r="H633" t="s">
        <v>77</v>
      </c>
      <c r="I633" t="s">
        <v>40</v>
      </c>
      <c r="J633">
        <v>1</v>
      </c>
      <c r="K633">
        <v>47288.95</v>
      </c>
      <c r="L633">
        <v>20</v>
      </c>
      <c r="M633">
        <v>47288.95</v>
      </c>
      <c r="N633">
        <v>31339.15</v>
      </c>
      <c r="O633">
        <v>15949.8</v>
      </c>
      <c r="P633" t="s">
        <v>73</v>
      </c>
      <c r="Q633">
        <v>3.1</v>
      </c>
      <c r="R633" t="s">
        <v>159</v>
      </c>
      <c r="S633" t="s">
        <v>87</v>
      </c>
      <c r="T633">
        <v>2025</v>
      </c>
    </row>
    <row r="634" spans="1:20" x14ac:dyDescent="0.3">
      <c r="A634" t="s">
        <v>1061</v>
      </c>
      <c r="B634" t="s">
        <v>205</v>
      </c>
      <c r="C634" t="s">
        <v>200</v>
      </c>
      <c r="D634" t="s">
        <v>81</v>
      </c>
      <c r="E634" t="s">
        <v>128</v>
      </c>
      <c r="F634" t="s">
        <v>25</v>
      </c>
      <c r="G634" t="s">
        <v>26</v>
      </c>
      <c r="H634" t="s">
        <v>27</v>
      </c>
      <c r="I634" t="s">
        <v>28</v>
      </c>
      <c r="J634">
        <v>3</v>
      </c>
      <c r="K634">
        <v>24537.79</v>
      </c>
      <c r="L634">
        <v>30</v>
      </c>
      <c r="M634">
        <v>73613.37</v>
      </c>
      <c r="N634">
        <v>48860.88</v>
      </c>
      <c r="O634">
        <v>24752.49</v>
      </c>
      <c r="P634" t="s">
        <v>122</v>
      </c>
      <c r="Q634">
        <v>1.6</v>
      </c>
      <c r="R634" t="s">
        <v>30</v>
      </c>
      <c r="S634" t="s">
        <v>74</v>
      </c>
      <c r="T634">
        <v>2024</v>
      </c>
    </row>
    <row r="635" spans="1:20" x14ac:dyDescent="0.3">
      <c r="A635" t="s">
        <v>1062</v>
      </c>
      <c r="B635" t="s">
        <v>551</v>
      </c>
      <c r="C635" t="s">
        <v>80</v>
      </c>
      <c r="D635" t="s">
        <v>52</v>
      </c>
      <c r="E635" t="s">
        <v>110</v>
      </c>
      <c r="F635" t="s">
        <v>54</v>
      </c>
      <c r="G635" t="s">
        <v>228</v>
      </c>
      <c r="H635" t="s">
        <v>56</v>
      </c>
      <c r="I635" t="s">
        <v>93</v>
      </c>
      <c r="J635">
        <v>5</v>
      </c>
      <c r="K635">
        <v>22226.76</v>
      </c>
      <c r="L635">
        <v>5</v>
      </c>
      <c r="M635">
        <v>111133.8</v>
      </c>
      <c r="N635">
        <v>85827.04</v>
      </c>
      <c r="O635">
        <v>25306.76</v>
      </c>
      <c r="P635" t="s">
        <v>29</v>
      </c>
      <c r="Q635">
        <v>4.7</v>
      </c>
      <c r="R635" t="s">
        <v>30</v>
      </c>
      <c r="S635" t="s">
        <v>119</v>
      </c>
      <c r="T635">
        <v>2024</v>
      </c>
    </row>
    <row r="636" spans="1:20" x14ac:dyDescent="0.3">
      <c r="A636" t="s">
        <v>1063</v>
      </c>
      <c r="B636" t="s">
        <v>148</v>
      </c>
      <c r="C636" t="s">
        <v>22</v>
      </c>
      <c r="D636" t="s">
        <v>132</v>
      </c>
      <c r="E636" t="s">
        <v>158</v>
      </c>
      <c r="F636" t="s">
        <v>45</v>
      </c>
      <c r="G636" t="s">
        <v>46</v>
      </c>
      <c r="H636" t="s">
        <v>176</v>
      </c>
      <c r="I636" t="s">
        <v>48</v>
      </c>
      <c r="J636">
        <v>2</v>
      </c>
      <c r="K636">
        <v>14103.34</v>
      </c>
      <c r="L636">
        <v>25</v>
      </c>
      <c r="M636">
        <v>28206.68</v>
      </c>
      <c r="N636">
        <v>21635.21</v>
      </c>
      <c r="O636">
        <v>6571.47</v>
      </c>
      <c r="P636" t="s">
        <v>113</v>
      </c>
      <c r="Q636">
        <v>1.6</v>
      </c>
      <c r="R636" t="s">
        <v>30</v>
      </c>
      <c r="S636" t="s">
        <v>119</v>
      </c>
      <c r="T636">
        <v>2024</v>
      </c>
    </row>
    <row r="637" spans="1:20" x14ac:dyDescent="0.3">
      <c r="A637" t="s">
        <v>1064</v>
      </c>
      <c r="B637" t="s">
        <v>323</v>
      </c>
      <c r="C637" t="s">
        <v>136</v>
      </c>
      <c r="D637" t="s">
        <v>132</v>
      </c>
      <c r="E637" t="s">
        <v>158</v>
      </c>
      <c r="F637" t="s">
        <v>62</v>
      </c>
      <c r="G637" t="s">
        <v>71</v>
      </c>
      <c r="H637" t="s">
        <v>271</v>
      </c>
      <c r="I637" t="s">
        <v>143</v>
      </c>
      <c r="J637">
        <v>1</v>
      </c>
      <c r="K637">
        <v>19376.32</v>
      </c>
      <c r="L637">
        <v>20</v>
      </c>
      <c r="M637">
        <v>19376.32</v>
      </c>
      <c r="N637">
        <v>16187.61</v>
      </c>
      <c r="O637">
        <v>3188.71</v>
      </c>
      <c r="P637" t="s">
        <v>41</v>
      </c>
      <c r="Q637">
        <v>4.5</v>
      </c>
      <c r="R637" t="s">
        <v>66</v>
      </c>
      <c r="S637" t="s">
        <v>31</v>
      </c>
      <c r="T637">
        <v>2024</v>
      </c>
    </row>
    <row r="638" spans="1:20" x14ac:dyDescent="0.3">
      <c r="A638" t="s">
        <v>1065</v>
      </c>
      <c r="B638" t="s">
        <v>395</v>
      </c>
      <c r="C638" t="s">
        <v>90</v>
      </c>
      <c r="D638" t="s">
        <v>23</v>
      </c>
      <c r="E638" t="s">
        <v>24</v>
      </c>
      <c r="F638" t="s">
        <v>25</v>
      </c>
      <c r="G638" t="s">
        <v>111</v>
      </c>
      <c r="H638" t="s">
        <v>27</v>
      </c>
      <c r="I638" t="s">
        <v>28</v>
      </c>
      <c r="J638">
        <v>1</v>
      </c>
      <c r="K638">
        <v>41619.15</v>
      </c>
      <c r="L638">
        <v>10</v>
      </c>
      <c r="M638">
        <v>41619.15</v>
      </c>
      <c r="N638">
        <v>33182.47</v>
      </c>
      <c r="O638">
        <v>8436.68</v>
      </c>
      <c r="P638" t="s">
        <v>29</v>
      </c>
      <c r="Q638">
        <v>4.9000000000000004</v>
      </c>
      <c r="R638" t="s">
        <v>30</v>
      </c>
      <c r="S638" t="s">
        <v>49</v>
      </c>
      <c r="T638">
        <v>2024</v>
      </c>
    </row>
    <row r="639" spans="1:20" x14ac:dyDescent="0.3">
      <c r="A639" t="s">
        <v>1066</v>
      </c>
      <c r="B639" t="s">
        <v>564</v>
      </c>
      <c r="C639" t="s">
        <v>61</v>
      </c>
      <c r="D639" t="s">
        <v>35</v>
      </c>
      <c r="E639" t="s">
        <v>36</v>
      </c>
      <c r="F639" t="s">
        <v>62</v>
      </c>
      <c r="G639" t="s">
        <v>71</v>
      </c>
      <c r="H639" t="s">
        <v>64</v>
      </c>
      <c r="I639" t="s">
        <v>65</v>
      </c>
      <c r="J639">
        <v>3</v>
      </c>
      <c r="K639">
        <v>14084.61</v>
      </c>
      <c r="L639">
        <v>20</v>
      </c>
      <c r="M639">
        <v>42253.83</v>
      </c>
      <c r="N639">
        <v>28202.22</v>
      </c>
      <c r="O639">
        <v>14051.61</v>
      </c>
      <c r="P639" t="s">
        <v>73</v>
      </c>
      <c r="Q639">
        <v>4.9000000000000004</v>
      </c>
      <c r="R639" t="s">
        <v>30</v>
      </c>
      <c r="S639" t="s">
        <v>31</v>
      </c>
      <c r="T639">
        <v>2024</v>
      </c>
    </row>
    <row r="640" spans="1:20" x14ac:dyDescent="0.3">
      <c r="A640" t="s">
        <v>1067</v>
      </c>
      <c r="B640" t="s">
        <v>337</v>
      </c>
      <c r="C640" t="s">
        <v>34</v>
      </c>
      <c r="D640" t="s">
        <v>23</v>
      </c>
      <c r="E640" t="s">
        <v>24</v>
      </c>
      <c r="F640" t="s">
        <v>54</v>
      </c>
      <c r="G640" t="s">
        <v>55</v>
      </c>
      <c r="H640" t="s">
        <v>56</v>
      </c>
      <c r="I640" t="s">
        <v>57</v>
      </c>
      <c r="J640">
        <v>5</v>
      </c>
      <c r="K640">
        <v>25935.66</v>
      </c>
      <c r="L640">
        <v>25</v>
      </c>
      <c r="M640">
        <v>129678.3</v>
      </c>
      <c r="N640">
        <v>109759.51</v>
      </c>
      <c r="O640">
        <v>19918.79</v>
      </c>
      <c r="P640" t="s">
        <v>29</v>
      </c>
      <c r="Q640">
        <v>3.7</v>
      </c>
      <c r="R640" t="s">
        <v>30</v>
      </c>
      <c r="S640" t="s">
        <v>42</v>
      </c>
      <c r="T640">
        <v>2024</v>
      </c>
    </row>
    <row r="641" spans="1:20" x14ac:dyDescent="0.3">
      <c r="A641" t="s">
        <v>1068</v>
      </c>
      <c r="B641" t="s">
        <v>280</v>
      </c>
      <c r="C641" t="s">
        <v>90</v>
      </c>
      <c r="D641" t="s">
        <v>52</v>
      </c>
      <c r="E641" t="s">
        <v>53</v>
      </c>
      <c r="F641" t="s">
        <v>54</v>
      </c>
      <c r="G641" t="s">
        <v>201</v>
      </c>
      <c r="H641" t="s">
        <v>56</v>
      </c>
      <c r="I641" t="s">
        <v>185</v>
      </c>
      <c r="J641">
        <v>5</v>
      </c>
      <c r="K641">
        <v>30657.64</v>
      </c>
      <c r="L641">
        <v>20</v>
      </c>
      <c r="M641">
        <v>153288.20000000001</v>
      </c>
      <c r="N641">
        <v>104540.41</v>
      </c>
      <c r="O641">
        <v>48747.79</v>
      </c>
      <c r="P641" t="s">
        <v>144</v>
      </c>
      <c r="Q641">
        <v>4.8</v>
      </c>
      <c r="R641" t="s">
        <v>30</v>
      </c>
      <c r="S641" t="s">
        <v>42</v>
      </c>
      <c r="T641">
        <v>2024</v>
      </c>
    </row>
    <row r="642" spans="1:20" x14ac:dyDescent="0.3">
      <c r="A642" t="s">
        <v>1069</v>
      </c>
      <c r="B642" t="s">
        <v>1030</v>
      </c>
      <c r="C642" t="s">
        <v>61</v>
      </c>
      <c r="D642" t="s">
        <v>98</v>
      </c>
      <c r="E642" t="s">
        <v>99</v>
      </c>
      <c r="F642" t="s">
        <v>37</v>
      </c>
      <c r="G642" t="s">
        <v>38</v>
      </c>
      <c r="H642" t="s">
        <v>327</v>
      </c>
      <c r="I642" t="s">
        <v>40</v>
      </c>
      <c r="J642">
        <v>3</v>
      </c>
      <c r="K642">
        <v>13596.18</v>
      </c>
      <c r="L642">
        <v>15</v>
      </c>
      <c r="M642">
        <v>40788.54</v>
      </c>
      <c r="N642">
        <v>30503.96</v>
      </c>
      <c r="O642">
        <v>10284.58</v>
      </c>
      <c r="P642" t="s">
        <v>122</v>
      </c>
      <c r="Q642">
        <v>2.9</v>
      </c>
      <c r="R642" t="s">
        <v>66</v>
      </c>
      <c r="S642" t="s">
        <v>78</v>
      </c>
      <c r="T642">
        <v>2024</v>
      </c>
    </row>
    <row r="643" spans="1:20" x14ac:dyDescent="0.3">
      <c r="A643" t="s">
        <v>1070</v>
      </c>
      <c r="B643" t="s">
        <v>285</v>
      </c>
      <c r="C643" t="s">
        <v>116</v>
      </c>
      <c r="D643" t="s">
        <v>52</v>
      </c>
      <c r="E643" t="s">
        <v>53</v>
      </c>
      <c r="F643" t="s">
        <v>45</v>
      </c>
      <c r="G643" t="s">
        <v>105</v>
      </c>
      <c r="H643" t="s">
        <v>176</v>
      </c>
      <c r="I643" t="s">
        <v>169</v>
      </c>
      <c r="J643">
        <v>5</v>
      </c>
      <c r="K643">
        <v>28379.75</v>
      </c>
      <c r="L643">
        <v>30</v>
      </c>
      <c r="M643">
        <v>141898.75</v>
      </c>
      <c r="N643">
        <v>109053.96</v>
      </c>
      <c r="O643">
        <v>32844.79</v>
      </c>
      <c r="P643" t="s">
        <v>113</v>
      </c>
      <c r="Q643">
        <v>4.4000000000000004</v>
      </c>
      <c r="R643" t="s">
        <v>30</v>
      </c>
      <c r="S643" t="s">
        <v>42</v>
      </c>
      <c r="T643">
        <v>2024</v>
      </c>
    </row>
    <row r="644" spans="1:20" x14ac:dyDescent="0.3">
      <c r="A644" t="s">
        <v>1071</v>
      </c>
      <c r="B644" t="s">
        <v>499</v>
      </c>
      <c r="C644" t="s">
        <v>61</v>
      </c>
      <c r="D644" t="s">
        <v>132</v>
      </c>
      <c r="E644" t="s">
        <v>158</v>
      </c>
      <c r="F644" t="s">
        <v>37</v>
      </c>
      <c r="G644" t="s">
        <v>38</v>
      </c>
      <c r="H644" t="s">
        <v>327</v>
      </c>
      <c r="I644" t="s">
        <v>40</v>
      </c>
      <c r="J644">
        <v>2</v>
      </c>
      <c r="K644">
        <v>12422.09</v>
      </c>
      <c r="L644">
        <v>15</v>
      </c>
      <c r="M644">
        <v>24844.18</v>
      </c>
      <c r="N644">
        <v>16313.72</v>
      </c>
      <c r="O644">
        <v>8530.4599999999991</v>
      </c>
      <c r="P644" t="s">
        <v>113</v>
      </c>
      <c r="Q644">
        <v>3.4</v>
      </c>
      <c r="R644" t="s">
        <v>30</v>
      </c>
      <c r="S644" t="s">
        <v>107</v>
      </c>
      <c r="T644">
        <v>2024</v>
      </c>
    </row>
    <row r="645" spans="1:20" x14ac:dyDescent="0.3">
      <c r="A645" t="s">
        <v>1072</v>
      </c>
      <c r="B645" t="s">
        <v>891</v>
      </c>
      <c r="C645" t="s">
        <v>116</v>
      </c>
      <c r="D645" t="s">
        <v>81</v>
      </c>
      <c r="E645" t="s">
        <v>149</v>
      </c>
      <c r="F645" t="s">
        <v>45</v>
      </c>
      <c r="G645" t="s">
        <v>105</v>
      </c>
      <c r="H645" t="s">
        <v>188</v>
      </c>
      <c r="I645" t="s">
        <v>48</v>
      </c>
      <c r="J645">
        <v>1</v>
      </c>
      <c r="K645">
        <v>18747.939999999999</v>
      </c>
      <c r="L645">
        <v>15</v>
      </c>
      <c r="M645">
        <v>18747.939999999999</v>
      </c>
      <c r="N645">
        <v>12295.23</v>
      </c>
      <c r="O645">
        <v>6452.71</v>
      </c>
      <c r="P645" t="s">
        <v>144</v>
      </c>
      <c r="Q645">
        <v>2.2000000000000002</v>
      </c>
      <c r="R645" t="s">
        <v>30</v>
      </c>
      <c r="S645" t="s">
        <v>74</v>
      </c>
      <c r="T645">
        <v>2024</v>
      </c>
    </row>
    <row r="646" spans="1:20" x14ac:dyDescent="0.3">
      <c r="A646" t="s">
        <v>1073</v>
      </c>
      <c r="B646" t="s">
        <v>1074</v>
      </c>
      <c r="C646" t="s">
        <v>80</v>
      </c>
      <c r="D646" t="s">
        <v>35</v>
      </c>
      <c r="E646" t="s">
        <v>36</v>
      </c>
      <c r="F646" t="s">
        <v>54</v>
      </c>
      <c r="G646" t="s">
        <v>228</v>
      </c>
      <c r="H646" t="s">
        <v>56</v>
      </c>
      <c r="I646" t="s">
        <v>118</v>
      </c>
      <c r="J646">
        <v>1</v>
      </c>
      <c r="K646">
        <v>35524.559999999998</v>
      </c>
      <c r="L646">
        <v>20</v>
      </c>
      <c r="M646">
        <v>35524.559999999998</v>
      </c>
      <c r="N646">
        <v>26421.45</v>
      </c>
      <c r="O646">
        <v>9103.11</v>
      </c>
      <c r="P646" t="s">
        <v>41</v>
      </c>
      <c r="Q646">
        <v>2</v>
      </c>
      <c r="R646" t="s">
        <v>30</v>
      </c>
      <c r="S646" t="s">
        <v>162</v>
      </c>
      <c r="T646">
        <v>2024</v>
      </c>
    </row>
    <row r="647" spans="1:20" x14ac:dyDescent="0.3">
      <c r="A647" t="s">
        <v>1075</v>
      </c>
      <c r="B647" t="s">
        <v>640</v>
      </c>
      <c r="C647" t="s">
        <v>22</v>
      </c>
      <c r="D647" t="s">
        <v>125</v>
      </c>
      <c r="E647" t="s">
        <v>139</v>
      </c>
      <c r="F647" t="s">
        <v>37</v>
      </c>
      <c r="G647" t="s">
        <v>38</v>
      </c>
      <c r="H647" t="s">
        <v>140</v>
      </c>
      <c r="I647" t="s">
        <v>40</v>
      </c>
      <c r="J647">
        <v>1</v>
      </c>
      <c r="K647">
        <v>36454.629999999997</v>
      </c>
      <c r="L647">
        <v>5</v>
      </c>
      <c r="M647">
        <v>36454.629999999997</v>
      </c>
      <c r="N647">
        <v>24313.13</v>
      </c>
      <c r="O647">
        <v>12141.5</v>
      </c>
      <c r="P647" t="s">
        <v>41</v>
      </c>
      <c r="Q647">
        <v>4.3</v>
      </c>
      <c r="R647" t="s">
        <v>30</v>
      </c>
      <c r="S647" t="s">
        <v>119</v>
      </c>
      <c r="T647">
        <v>2024</v>
      </c>
    </row>
    <row r="648" spans="1:20" x14ac:dyDescent="0.3">
      <c r="A648" t="s">
        <v>1076</v>
      </c>
      <c r="B648" t="s">
        <v>704</v>
      </c>
      <c r="C648" t="s">
        <v>97</v>
      </c>
      <c r="D648" t="s">
        <v>125</v>
      </c>
      <c r="E648" t="s">
        <v>126</v>
      </c>
      <c r="F648" t="s">
        <v>54</v>
      </c>
      <c r="G648" t="s">
        <v>55</v>
      </c>
      <c r="H648" t="s">
        <v>179</v>
      </c>
      <c r="I648" t="s">
        <v>185</v>
      </c>
      <c r="J648">
        <v>3</v>
      </c>
      <c r="K648">
        <v>23249.27</v>
      </c>
      <c r="L648">
        <v>5</v>
      </c>
      <c r="M648">
        <v>69747.81</v>
      </c>
      <c r="N648">
        <v>45767.27</v>
      </c>
      <c r="O648">
        <v>23980.54</v>
      </c>
      <c r="P648" t="s">
        <v>122</v>
      </c>
      <c r="Q648">
        <v>2.2000000000000002</v>
      </c>
      <c r="R648" t="s">
        <v>30</v>
      </c>
      <c r="S648" t="s">
        <v>31</v>
      </c>
      <c r="T648">
        <v>2024</v>
      </c>
    </row>
    <row r="649" spans="1:20" x14ac:dyDescent="0.3">
      <c r="A649" t="s">
        <v>1077</v>
      </c>
      <c r="B649" t="s">
        <v>747</v>
      </c>
      <c r="C649" t="s">
        <v>90</v>
      </c>
      <c r="D649" t="s">
        <v>81</v>
      </c>
      <c r="E649" t="s">
        <v>128</v>
      </c>
      <c r="F649" t="s">
        <v>45</v>
      </c>
      <c r="G649" t="s">
        <v>46</v>
      </c>
      <c r="H649" t="s">
        <v>188</v>
      </c>
      <c r="I649" t="s">
        <v>169</v>
      </c>
      <c r="J649">
        <v>1</v>
      </c>
      <c r="K649">
        <v>48842.53</v>
      </c>
      <c r="L649">
        <v>10</v>
      </c>
      <c r="M649">
        <v>48842.53</v>
      </c>
      <c r="N649">
        <v>33939.019999999997</v>
      </c>
      <c r="O649">
        <v>14903.51</v>
      </c>
      <c r="P649" t="s">
        <v>144</v>
      </c>
      <c r="Q649">
        <v>2.7</v>
      </c>
      <c r="R649" t="s">
        <v>30</v>
      </c>
      <c r="S649" t="s">
        <v>49</v>
      </c>
      <c r="T649">
        <v>2024</v>
      </c>
    </row>
    <row r="650" spans="1:20" x14ac:dyDescent="0.3">
      <c r="A650" t="s">
        <v>1078</v>
      </c>
      <c r="B650" t="s">
        <v>395</v>
      </c>
      <c r="C650" t="s">
        <v>116</v>
      </c>
      <c r="D650" t="s">
        <v>69</v>
      </c>
      <c r="E650" t="s">
        <v>70</v>
      </c>
      <c r="F650" t="s">
        <v>54</v>
      </c>
      <c r="G650" t="s">
        <v>228</v>
      </c>
      <c r="H650" t="s">
        <v>92</v>
      </c>
      <c r="I650" t="s">
        <v>296</v>
      </c>
      <c r="J650">
        <v>1</v>
      </c>
      <c r="K650">
        <v>21881.01</v>
      </c>
      <c r="L650">
        <v>30</v>
      </c>
      <c r="M650">
        <v>21881.01</v>
      </c>
      <c r="N650">
        <v>18533.86</v>
      </c>
      <c r="O650">
        <v>3347.15</v>
      </c>
      <c r="P650" t="s">
        <v>73</v>
      </c>
      <c r="Q650">
        <v>3.5</v>
      </c>
      <c r="R650" t="s">
        <v>159</v>
      </c>
      <c r="S650" t="s">
        <v>49</v>
      </c>
      <c r="T650">
        <v>2024</v>
      </c>
    </row>
    <row r="651" spans="1:20" x14ac:dyDescent="0.3">
      <c r="A651" t="s">
        <v>1079</v>
      </c>
      <c r="B651" t="s">
        <v>1080</v>
      </c>
      <c r="C651" t="s">
        <v>168</v>
      </c>
      <c r="D651" t="s">
        <v>81</v>
      </c>
      <c r="E651" t="s">
        <v>82</v>
      </c>
      <c r="F651" t="s">
        <v>25</v>
      </c>
      <c r="G651" t="s">
        <v>26</v>
      </c>
      <c r="H651" t="s">
        <v>27</v>
      </c>
      <c r="I651" t="s">
        <v>28</v>
      </c>
      <c r="J651">
        <v>5</v>
      </c>
      <c r="K651">
        <v>38964.36</v>
      </c>
      <c r="L651">
        <v>30</v>
      </c>
      <c r="M651">
        <v>194821.8</v>
      </c>
      <c r="N651">
        <v>158971.07999999999</v>
      </c>
      <c r="O651">
        <v>35850.720000000001</v>
      </c>
      <c r="P651" t="s">
        <v>73</v>
      </c>
      <c r="Q651">
        <v>3.9</v>
      </c>
      <c r="R651" t="s">
        <v>30</v>
      </c>
      <c r="S651" t="s">
        <v>74</v>
      </c>
      <c r="T651">
        <v>2024</v>
      </c>
    </row>
    <row r="652" spans="1:20" x14ac:dyDescent="0.3">
      <c r="A652" t="s">
        <v>1081</v>
      </c>
      <c r="B652" t="s">
        <v>259</v>
      </c>
      <c r="C652" t="s">
        <v>200</v>
      </c>
      <c r="D652" t="s">
        <v>35</v>
      </c>
      <c r="E652" t="s">
        <v>36</v>
      </c>
      <c r="F652" t="s">
        <v>62</v>
      </c>
      <c r="G652" t="s">
        <v>63</v>
      </c>
      <c r="H652" t="s">
        <v>271</v>
      </c>
      <c r="I652" t="s">
        <v>143</v>
      </c>
      <c r="J652">
        <v>4</v>
      </c>
      <c r="K652">
        <v>1435.38</v>
      </c>
      <c r="L652">
        <v>10</v>
      </c>
      <c r="M652">
        <v>5741.52</v>
      </c>
      <c r="N652">
        <v>3826.48</v>
      </c>
      <c r="O652">
        <v>1915.04</v>
      </c>
      <c r="P652" t="s">
        <v>41</v>
      </c>
      <c r="Q652">
        <v>2</v>
      </c>
      <c r="R652" t="s">
        <v>30</v>
      </c>
      <c r="S652" t="s">
        <v>94</v>
      </c>
      <c r="T652">
        <v>2024</v>
      </c>
    </row>
    <row r="653" spans="1:20" x14ac:dyDescent="0.3">
      <c r="A653" t="s">
        <v>1082</v>
      </c>
      <c r="B653" t="s">
        <v>44</v>
      </c>
      <c r="C653" t="s">
        <v>200</v>
      </c>
      <c r="D653" t="s">
        <v>52</v>
      </c>
      <c r="E653" t="s">
        <v>53</v>
      </c>
      <c r="F653" t="s">
        <v>54</v>
      </c>
      <c r="G653" t="s">
        <v>91</v>
      </c>
      <c r="H653" t="s">
        <v>179</v>
      </c>
      <c r="I653" t="s">
        <v>180</v>
      </c>
      <c r="J653">
        <v>5</v>
      </c>
      <c r="K653">
        <v>2536.16</v>
      </c>
      <c r="L653">
        <v>5</v>
      </c>
      <c r="M653">
        <v>12680.8</v>
      </c>
      <c r="N653">
        <v>8614.2199999999993</v>
      </c>
      <c r="O653">
        <v>4066.58</v>
      </c>
      <c r="P653" t="s">
        <v>113</v>
      </c>
      <c r="Q653">
        <v>1.8</v>
      </c>
      <c r="R653" t="s">
        <v>30</v>
      </c>
      <c r="S653" t="s">
        <v>49</v>
      </c>
      <c r="T653">
        <v>2024</v>
      </c>
    </row>
    <row r="654" spans="1:20" x14ac:dyDescent="0.3">
      <c r="A654" t="s">
        <v>1083</v>
      </c>
      <c r="B654" t="s">
        <v>241</v>
      </c>
      <c r="C654" t="s">
        <v>22</v>
      </c>
      <c r="D654" t="s">
        <v>23</v>
      </c>
      <c r="E654" t="s">
        <v>24</v>
      </c>
      <c r="F654" t="s">
        <v>54</v>
      </c>
      <c r="G654" t="s">
        <v>228</v>
      </c>
      <c r="H654" t="s">
        <v>91</v>
      </c>
      <c r="I654" t="s">
        <v>93</v>
      </c>
      <c r="J654">
        <v>5</v>
      </c>
      <c r="K654">
        <v>21992.38</v>
      </c>
      <c r="L654">
        <v>20</v>
      </c>
      <c r="M654">
        <v>109961.9</v>
      </c>
      <c r="N654">
        <v>78390.22</v>
      </c>
      <c r="O654">
        <v>31571.68</v>
      </c>
      <c r="P654" t="s">
        <v>29</v>
      </c>
      <c r="Q654">
        <v>3.9</v>
      </c>
      <c r="R654" t="s">
        <v>30</v>
      </c>
      <c r="S654" t="s">
        <v>78</v>
      </c>
      <c r="T654">
        <v>2024</v>
      </c>
    </row>
    <row r="655" spans="1:20" x14ac:dyDescent="0.3">
      <c r="A655" t="s">
        <v>1084</v>
      </c>
      <c r="B655" t="s">
        <v>484</v>
      </c>
      <c r="C655" t="s">
        <v>90</v>
      </c>
      <c r="D655" t="s">
        <v>69</v>
      </c>
      <c r="E655" t="s">
        <v>70</v>
      </c>
      <c r="F655" t="s">
        <v>45</v>
      </c>
      <c r="G655" t="s">
        <v>105</v>
      </c>
      <c r="H655" t="s">
        <v>106</v>
      </c>
      <c r="I655" t="s">
        <v>101</v>
      </c>
      <c r="J655">
        <v>2</v>
      </c>
      <c r="K655">
        <v>20194.2</v>
      </c>
      <c r="L655">
        <v>15</v>
      </c>
      <c r="M655">
        <v>40388.400000000001</v>
      </c>
      <c r="N655">
        <v>26324.12</v>
      </c>
      <c r="O655">
        <v>14064.28</v>
      </c>
      <c r="P655" t="s">
        <v>29</v>
      </c>
      <c r="Q655">
        <v>3.1</v>
      </c>
      <c r="R655" t="s">
        <v>30</v>
      </c>
      <c r="S655" t="s">
        <v>74</v>
      </c>
      <c r="T655">
        <v>2024</v>
      </c>
    </row>
    <row r="656" spans="1:20" x14ac:dyDescent="0.3">
      <c r="A656" t="s">
        <v>1085</v>
      </c>
      <c r="B656" t="s">
        <v>1086</v>
      </c>
      <c r="C656" t="s">
        <v>97</v>
      </c>
      <c r="D656" t="s">
        <v>125</v>
      </c>
      <c r="E656" t="s">
        <v>139</v>
      </c>
      <c r="F656" t="s">
        <v>37</v>
      </c>
      <c r="G656" t="s">
        <v>38</v>
      </c>
      <c r="H656" t="s">
        <v>86</v>
      </c>
      <c r="I656" t="s">
        <v>40</v>
      </c>
      <c r="J656">
        <v>3</v>
      </c>
      <c r="K656">
        <v>18789.810000000001</v>
      </c>
      <c r="L656">
        <v>20</v>
      </c>
      <c r="M656">
        <v>56369.43</v>
      </c>
      <c r="N656">
        <v>44142.559999999998</v>
      </c>
      <c r="O656">
        <v>12226.87</v>
      </c>
      <c r="P656" t="s">
        <v>29</v>
      </c>
      <c r="Q656">
        <v>2</v>
      </c>
      <c r="R656" t="s">
        <v>159</v>
      </c>
      <c r="S656" t="s">
        <v>107</v>
      </c>
      <c r="T656">
        <v>2024</v>
      </c>
    </row>
    <row r="657" spans="1:20" x14ac:dyDescent="0.3">
      <c r="A657" t="s">
        <v>1087</v>
      </c>
      <c r="B657" t="s">
        <v>455</v>
      </c>
      <c r="C657" t="s">
        <v>136</v>
      </c>
      <c r="D657" t="s">
        <v>35</v>
      </c>
      <c r="E657" t="s">
        <v>36</v>
      </c>
      <c r="F657" t="s">
        <v>54</v>
      </c>
      <c r="G657" t="s">
        <v>55</v>
      </c>
      <c r="H657" t="s">
        <v>179</v>
      </c>
      <c r="I657" t="s">
        <v>57</v>
      </c>
      <c r="J657">
        <v>2</v>
      </c>
      <c r="K657">
        <v>33027.629999999997</v>
      </c>
      <c r="L657">
        <v>20</v>
      </c>
      <c r="M657">
        <v>66055.259999999995</v>
      </c>
      <c r="N657">
        <v>48239.22</v>
      </c>
      <c r="O657">
        <v>17816.04</v>
      </c>
      <c r="P657" t="s">
        <v>113</v>
      </c>
      <c r="Q657">
        <v>1.5</v>
      </c>
      <c r="R657" t="s">
        <v>30</v>
      </c>
      <c r="S657" t="s">
        <v>162</v>
      </c>
      <c r="T657">
        <v>2024</v>
      </c>
    </row>
    <row r="658" spans="1:20" x14ac:dyDescent="0.3">
      <c r="A658" t="s">
        <v>1088</v>
      </c>
      <c r="B658" t="s">
        <v>781</v>
      </c>
      <c r="C658" t="s">
        <v>34</v>
      </c>
      <c r="D658" t="s">
        <v>35</v>
      </c>
      <c r="E658" t="s">
        <v>36</v>
      </c>
      <c r="F658" t="s">
        <v>45</v>
      </c>
      <c r="G658" t="s">
        <v>105</v>
      </c>
      <c r="H658" t="s">
        <v>188</v>
      </c>
      <c r="I658" t="s">
        <v>48</v>
      </c>
      <c r="J658">
        <v>5</v>
      </c>
      <c r="K658">
        <v>44953.24</v>
      </c>
      <c r="L658">
        <v>30</v>
      </c>
      <c r="M658">
        <v>224766.2</v>
      </c>
      <c r="N658">
        <v>187199.54</v>
      </c>
      <c r="O658">
        <v>37566.660000000003</v>
      </c>
      <c r="P658" t="s">
        <v>73</v>
      </c>
      <c r="Q658">
        <v>1.1000000000000001</v>
      </c>
      <c r="R658" t="s">
        <v>30</v>
      </c>
      <c r="S658" t="s">
        <v>78</v>
      </c>
      <c r="T658">
        <v>2024</v>
      </c>
    </row>
    <row r="659" spans="1:20" x14ac:dyDescent="0.3">
      <c r="A659" t="s">
        <v>1089</v>
      </c>
      <c r="B659" t="s">
        <v>1090</v>
      </c>
      <c r="C659" t="s">
        <v>22</v>
      </c>
      <c r="D659" t="s">
        <v>69</v>
      </c>
      <c r="E659" t="s">
        <v>155</v>
      </c>
      <c r="F659" t="s">
        <v>37</v>
      </c>
      <c r="G659" t="s">
        <v>38</v>
      </c>
      <c r="H659" t="s">
        <v>86</v>
      </c>
      <c r="I659" t="s">
        <v>40</v>
      </c>
      <c r="J659">
        <v>5</v>
      </c>
      <c r="K659">
        <v>47047.23</v>
      </c>
      <c r="L659">
        <v>20</v>
      </c>
      <c r="M659">
        <v>235236.15</v>
      </c>
      <c r="N659">
        <v>179809.96</v>
      </c>
      <c r="O659">
        <v>55426.19</v>
      </c>
      <c r="P659" t="s">
        <v>73</v>
      </c>
      <c r="Q659">
        <v>3</v>
      </c>
      <c r="R659" t="s">
        <v>30</v>
      </c>
      <c r="S659" t="s">
        <v>58</v>
      </c>
      <c r="T659">
        <v>2024</v>
      </c>
    </row>
    <row r="660" spans="1:20" x14ac:dyDescent="0.3">
      <c r="A660" t="s">
        <v>1091</v>
      </c>
      <c r="B660" t="s">
        <v>704</v>
      </c>
      <c r="C660" t="s">
        <v>90</v>
      </c>
      <c r="D660" t="s">
        <v>69</v>
      </c>
      <c r="E660" t="s">
        <v>155</v>
      </c>
      <c r="F660" t="s">
        <v>54</v>
      </c>
      <c r="G660" t="s">
        <v>228</v>
      </c>
      <c r="H660" t="s">
        <v>91</v>
      </c>
      <c r="I660" t="s">
        <v>185</v>
      </c>
      <c r="J660">
        <v>3</v>
      </c>
      <c r="K660">
        <v>34358.78</v>
      </c>
      <c r="L660">
        <v>15</v>
      </c>
      <c r="M660">
        <v>103076.34</v>
      </c>
      <c r="N660">
        <v>81487.41</v>
      </c>
      <c r="O660">
        <v>21588.93</v>
      </c>
      <c r="P660" t="s">
        <v>144</v>
      </c>
      <c r="Q660">
        <v>2.4</v>
      </c>
      <c r="R660" t="s">
        <v>30</v>
      </c>
      <c r="S660" t="s">
        <v>31</v>
      </c>
      <c r="T660">
        <v>2024</v>
      </c>
    </row>
    <row r="661" spans="1:20" x14ac:dyDescent="0.3">
      <c r="A661" t="s">
        <v>1092</v>
      </c>
      <c r="B661" t="s">
        <v>154</v>
      </c>
      <c r="C661" t="s">
        <v>90</v>
      </c>
      <c r="D661" t="s">
        <v>125</v>
      </c>
      <c r="E661" t="s">
        <v>126</v>
      </c>
      <c r="F661" t="s">
        <v>45</v>
      </c>
      <c r="G661" t="s">
        <v>105</v>
      </c>
      <c r="H661" t="s">
        <v>106</v>
      </c>
      <c r="I661" t="s">
        <v>169</v>
      </c>
      <c r="J661">
        <v>5</v>
      </c>
      <c r="K661">
        <v>12779.59</v>
      </c>
      <c r="L661">
        <v>25</v>
      </c>
      <c r="M661">
        <v>63897.95</v>
      </c>
      <c r="N661">
        <v>51540.43</v>
      </c>
      <c r="O661">
        <v>12357.52</v>
      </c>
      <c r="P661" t="s">
        <v>122</v>
      </c>
      <c r="Q661">
        <v>2.8</v>
      </c>
      <c r="R661" t="s">
        <v>30</v>
      </c>
      <c r="S661" t="s">
        <v>58</v>
      </c>
      <c r="T661">
        <v>2024</v>
      </c>
    </row>
    <row r="662" spans="1:20" x14ac:dyDescent="0.3">
      <c r="A662" t="s">
        <v>1093</v>
      </c>
      <c r="B662" t="s">
        <v>479</v>
      </c>
      <c r="C662" t="s">
        <v>90</v>
      </c>
      <c r="D662" t="s">
        <v>35</v>
      </c>
      <c r="E662" t="s">
        <v>36</v>
      </c>
      <c r="F662" t="s">
        <v>25</v>
      </c>
      <c r="G662" t="s">
        <v>26</v>
      </c>
      <c r="H662" t="s">
        <v>129</v>
      </c>
      <c r="I662" t="s">
        <v>28</v>
      </c>
      <c r="J662">
        <v>5</v>
      </c>
      <c r="K662">
        <v>30878.47</v>
      </c>
      <c r="L662">
        <v>10</v>
      </c>
      <c r="M662">
        <v>154392.35</v>
      </c>
      <c r="N662">
        <v>129788.05</v>
      </c>
      <c r="O662">
        <v>24604.3</v>
      </c>
      <c r="P662" t="s">
        <v>41</v>
      </c>
      <c r="Q662">
        <v>2.5</v>
      </c>
      <c r="R662" t="s">
        <v>30</v>
      </c>
      <c r="S662" t="s">
        <v>78</v>
      </c>
      <c r="T662">
        <v>2024</v>
      </c>
    </row>
    <row r="663" spans="1:20" x14ac:dyDescent="0.3">
      <c r="A663" t="s">
        <v>1094</v>
      </c>
      <c r="B663" t="s">
        <v>1095</v>
      </c>
      <c r="C663" t="s">
        <v>200</v>
      </c>
      <c r="D663" t="s">
        <v>81</v>
      </c>
      <c r="E663" t="s">
        <v>82</v>
      </c>
      <c r="F663" t="s">
        <v>45</v>
      </c>
      <c r="G663" t="s">
        <v>105</v>
      </c>
      <c r="H663" t="s">
        <v>47</v>
      </c>
      <c r="I663" t="s">
        <v>48</v>
      </c>
      <c r="J663">
        <v>1</v>
      </c>
      <c r="K663">
        <v>24227.24</v>
      </c>
      <c r="L663">
        <v>30</v>
      </c>
      <c r="M663">
        <v>24227.24</v>
      </c>
      <c r="N663">
        <v>20054.16</v>
      </c>
      <c r="O663">
        <v>4173.08</v>
      </c>
      <c r="P663" t="s">
        <v>29</v>
      </c>
      <c r="Q663">
        <v>2.7</v>
      </c>
      <c r="R663" t="s">
        <v>30</v>
      </c>
      <c r="S663" t="s">
        <v>94</v>
      </c>
      <c r="T663">
        <v>2024</v>
      </c>
    </row>
    <row r="664" spans="1:20" x14ac:dyDescent="0.3">
      <c r="A664" t="s">
        <v>1096</v>
      </c>
      <c r="B664" t="s">
        <v>368</v>
      </c>
      <c r="C664" t="s">
        <v>80</v>
      </c>
      <c r="D664" t="s">
        <v>98</v>
      </c>
      <c r="E664" t="s">
        <v>99</v>
      </c>
      <c r="F664" t="s">
        <v>37</v>
      </c>
      <c r="G664" t="s">
        <v>38</v>
      </c>
      <c r="H664" t="s">
        <v>39</v>
      </c>
      <c r="I664" t="s">
        <v>40</v>
      </c>
      <c r="J664">
        <v>4</v>
      </c>
      <c r="K664">
        <v>15282.31</v>
      </c>
      <c r="L664">
        <v>10</v>
      </c>
      <c r="M664">
        <v>61129.24</v>
      </c>
      <c r="N664">
        <v>45459.42</v>
      </c>
      <c r="O664">
        <v>15669.82</v>
      </c>
      <c r="P664" t="s">
        <v>144</v>
      </c>
      <c r="Q664">
        <v>2.1</v>
      </c>
      <c r="R664" t="s">
        <v>30</v>
      </c>
      <c r="S664" t="s">
        <v>119</v>
      </c>
      <c r="T664">
        <v>2024</v>
      </c>
    </row>
    <row r="665" spans="1:20" x14ac:dyDescent="0.3">
      <c r="A665" t="s">
        <v>1097</v>
      </c>
      <c r="B665" t="s">
        <v>431</v>
      </c>
      <c r="C665" t="s">
        <v>22</v>
      </c>
      <c r="D665" t="s">
        <v>98</v>
      </c>
      <c r="E665" t="s">
        <v>99</v>
      </c>
      <c r="F665" t="s">
        <v>45</v>
      </c>
      <c r="G665" t="s">
        <v>105</v>
      </c>
      <c r="H665" t="s">
        <v>106</v>
      </c>
      <c r="I665" t="s">
        <v>48</v>
      </c>
      <c r="J665">
        <v>1</v>
      </c>
      <c r="K665">
        <v>46933.96</v>
      </c>
      <c r="L665">
        <v>25</v>
      </c>
      <c r="M665">
        <v>46933.96</v>
      </c>
      <c r="N665">
        <v>35768.44</v>
      </c>
      <c r="O665">
        <v>11165.52</v>
      </c>
      <c r="P665" t="s">
        <v>29</v>
      </c>
      <c r="Q665">
        <v>2.5</v>
      </c>
      <c r="R665" t="s">
        <v>30</v>
      </c>
      <c r="S665" t="s">
        <v>119</v>
      </c>
      <c r="T665">
        <v>2024</v>
      </c>
    </row>
    <row r="666" spans="1:20" x14ac:dyDescent="0.3">
      <c r="A666" t="s">
        <v>1098</v>
      </c>
      <c r="B666" t="s">
        <v>246</v>
      </c>
      <c r="C666" t="s">
        <v>97</v>
      </c>
      <c r="D666" t="s">
        <v>132</v>
      </c>
      <c r="E666" t="s">
        <v>158</v>
      </c>
      <c r="F666" t="s">
        <v>45</v>
      </c>
      <c r="G666" t="s">
        <v>46</v>
      </c>
      <c r="H666" t="s">
        <v>100</v>
      </c>
      <c r="I666" t="s">
        <v>101</v>
      </c>
      <c r="J666">
        <v>1</v>
      </c>
      <c r="K666">
        <v>14622.12</v>
      </c>
      <c r="L666">
        <v>5</v>
      </c>
      <c r="M666">
        <v>14622.12</v>
      </c>
      <c r="N666">
        <v>11377.13</v>
      </c>
      <c r="O666">
        <v>3244.99</v>
      </c>
      <c r="P666" t="s">
        <v>122</v>
      </c>
      <c r="Q666">
        <v>4.9000000000000004</v>
      </c>
      <c r="R666" t="s">
        <v>30</v>
      </c>
      <c r="S666" t="s">
        <v>87</v>
      </c>
      <c r="T666">
        <v>2025</v>
      </c>
    </row>
    <row r="667" spans="1:20" x14ac:dyDescent="0.3">
      <c r="A667" t="s">
        <v>1099</v>
      </c>
      <c r="B667" t="s">
        <v>541</v>
      </c>
      <c r="C667" t="s">
        <v>97</v>
      </c>
      <c r="D667" t="s">
        <v>132</v>
      </c>
      <c r="E667" t="s">
        <v>158</v>
      </c>
      <c r="F667" t="s">
        <v>25</v>
      </c>
      <c r="G667" t="s">
        <v>26</v>
      </c>
      <c r="H667" t="s">
        <v>129</v>
      </c>
      <c r="I667" t="s">
        <v>28</v>
      </c>
      <c r="J667">
        <v>4</v>
      </c>
      <c r="K667">
        <v>34830.28</v>
      </c>
      <c r="L667">
        <v>30</v>
      </c>
      <c r="M667">
        <v>139321.12</v>
      </c>
      <c r="N667">
        <v>112250.05</v>
      </c>
      <c r="O667">
        <v>27071.07</v>
      </c>
      <c r="P667" t="s">
        <v>122</v>
      </c>
      <c r="Q667">
        <v>2.9</v>
      </c>
      <c r="R667" t="s">
        <v>30</v>
      </c>
      <c r="S667" t="s">
        <v>58</v>
      </c>
      <c r="T667">
        <v>2024</v>
      </c>
    </row>
    <row r="668" spans="1:20" x14ac:dyDescent="0.3">
      <c r="A668" t="s">
        <v>1100</v>
      </c>
      <c r="B668" t="s">
        <v>1032</v>
      </c>
      <c r="C668" t="s">
        <v>61</v>
      </c>
      <c r="D668" t="s">
        <v>69</v>
      </c>
      <c r="E668" t="s">
        <v>155</v>
      </c>
      <c r="F668" t="s">
        <v>45</v>
      </c>
      <c r="G668" t="s">
        <v>46</v>
      </c>
      <c r="H668" t="s">
        <v>100</v>
      </c>
      <c r="I668" t="s">
        <v>101</v>
      </c>
      <c r="J668">
        <v>5</v>
      </c>
      <c r="K668">
        <v>43118.19</v>
      </c>
      <c r="L668">
        <v>5</v>
      </c>
      <c r="M668">
        <v>215590.95</v>
      </c>
      <c r="N668">
        <v>144473.88</v>
      </c>
      <c r="O668">
        <v>71117.070000000007</v>
      </c>
      <c r="P668" t="s">
        <v>144</v>
      </c>
      <c r="Q668">
        <v>4</v>
      </c>
      <c r="R668" t="s">
        <v>30</v>
      </c>
      <c r="S668" t="s">
        <v>87</v>
      </c>
      <c r="T668">
        <v>2025</v>
      </c>
    </row>
    <row r="669" spans="1:20" x14ac:dyDescent="0.3">
      <c r="A669" t="s">
        <v>1101</v>
      </c>
      <c r="B669" t="s">
        <v>329</v>
      </c>
      <c r="C669" t="s">
        <v>34</v>
      </c>
      <c r="D669" t="s">
        <v>98</v>
      </c>
      <c r="E669" t="s">
        <v>99</v>
      </c>
      <c r="F669" t="s">
        <v>25</v>
      </c>
      <c r="G669" t="s">
        <v>26</v>
      </c>
      <c r="H669" t="s">
        <v>129</v>
      </c>
      <c r="I669" t="s">
        <v>28</v>
      </c>
      <c r="J669">
        <v>3</v>
      </c>
      <c r="K669">
        <v>29885.360000000001</v>
      </c>
      <c r="L669">
        <v>20</v>
      </c>
      <c r="M669">
        <v>89656.08</v>
      </c>
      <c r="N669">
        <v>61576.88</v>
      </c>
      <c r="O669">
        <v>28079.200000000001</v>
      </c>
      <c r="P669" t="s">
        <v>29</v>
      </c>
      <c r="Q669">
        <v>4.0999999999999996</v>
      </c>
      <c r="R669" t="s">
        <v>30</v>
      </c>
      <c r="S669" t="s">
        <v>49</v>
      </c>
      <c r="T669">
        <v>2024</v>
      </c>
    </row>
    <row r="670" spans="1:20" x14ac:dyDescent="0.3">
      <c r="A670" t="s">
        <v>1102</v>
      </c>
      <c r="B670" t="s">
        <v>293</v>
      </c>
      <c r="C670" t="s">
        <v>80</v>
      </c>
      <c r="D670" t="s">
        <v>81</v>
      </c>
      <c r="E670" t="s">
        <v>149</v>
      </c>
      <c r="F670" t="s">
        <v>25</v>
      </c>
      <c r="G670" t="s">
        <v>111</v>
      </c>
      <c r="H670" t="s">
        <v>27</v>
      </c>
      <c r="I670" t="s">
        <v>28</v>
      </c>
      <c r="J670">
        <v>5</v>
      </c>
      <c r="K670">
        <v>7728.33</v>
      </c>
      <c r="L670">
        <v>15</v>
      </c>
      <c r="M670">
        <v>38641.65</v>
      </c>
      <c r="N670">
        <v>30837.43</v>
      </c>
      <c r="O670">
        <v>7804.22</v>
      </c>
      <c r="P670" t="s">
        <v>113</v>
      </c>
      <c r="Q670">
        <v>3.9</v>
      </c>
      <c r="R670" t="s">
        <v>30</v>
      </c>
      <c r="S670" t="s">
        <v>119</v>
      </c>
      <c r="T670">
        <v>2024</v>
      </c>
    </row>
    <row r="671" spans="1:20" x14ac:dyDescent="0.3">
      <c r="A671" t="s">
        <v>1103</v>
      </c>
      <c r="B671" t="s">
        <v>146</v>
      </c>
      <c r="C671" t="s">
        <v>22</v>
      </c>
      <c r="D671" t="s">
        <v>98</v>
      </c>
      <c r="E671" t="s">
        <v>99</v>
      </c>
      <c r="F671" t="s">
        <v>62</v>
      </c>
      <c r="G671" t="s">
        <v>71</v>
      </c>
      <c r="H671" t="s">
        <v>64</v>
      </c>
      <c r="I671" t="s">
        <v>65</v>
      </c>
      <c r="J671">
        <v>5</v>
      </c>
      <c r="K671">
        <v>36096.74</v>
      </c>
      <c r="L671">
        <v>10</v>
      </c>
      <c r="M671">
        <v>180483.7</v>
      </c>
      <c r="N671">
        <v>129726.28</v>
      </c>
      <c r="O671">
        <v>50757.42</v>
      </c>
      <c r="P671" t="s">
        <v>144</v>
      </c>
      <c r="Q671">
        <v>1.8</v>
      </c>
      <c r="R671" t="s">
        <v>30</v>
      </c>
      <c r="S671" t="s">
        <v>87</v>
      </c>
      <c r="T671">
        <v>2025</v>
      </c>
    </row>
    <row r="672" spans="1:20" x14ac:dyDescent="0.3">
      <c r="A672" t="s">
        <v>1104</v>
      </c>
      <c r="B672" t="s">
        <v>742</v>
      </c>
      <c r="C672" t="s">
        <v>136</v>
      </c>
      <c r="D672" t="s">
        <v>125</v>
      </c>
      <c r="E672" t="s">
        <v>139</v>
      </c>
      <c r="F672" t="s">
        <v>37</v>
      </c>
      <c r="G672" t="s">
        <v>38</v>
      </c>
      <c r="H672" t="s">
        <v>140</v>
      </c>
      <c r="I672" t="s">
        <v>40</v>
      </c>
      <c r="J672">
        <v>4</v>
      </c>
      <c r="K672">
        <v>19275.66</v>
      </c>
      <c r="L672">
        <v>15</v>
      </c>
      <c r="M672">
        <v>77102.64</v>
      </c>
      <c r="N672">
        <v>52631.03</v>
      </c>
      <c r="O672">
        <v>24471.61</v>
      </c>
      <c r="P672" t="s">
        <v>144</v>
      </c>
      <c r="Q672">
        <v>1.8</v>
      </c>
      <c r="R672" t="s">
        <v>30</v>
      </c>
      <c r="S672" t="s">
        <v>107</v>
      </c>
      <c r="T672">
        <v>2024</v>
      </c>
    </row>
    <row r="673" spans="1:20" x14ac:dyDescent="0.3">
      <c r="A673" t="s">
        <v>1105</v>
      </c>
      <c r="B673" t="s">
        <v>977</v>
      </c>
      <c r="C673" t="s">
        <v>90</v>
      </c>
      <c r="D673" t="s">
        <v>125</v>
      </c>
      <c r="E673" t="s">
        <v>139</v>
      </c>
      <c r="F673" t="s">
        <v>62</v>
      </c>
      <c r="G673" t="s">
        <v>63</v>
      </c>
      <c r="H673" t="s">
        <v>271</v>
      </c>
      <c r="I673" t="s">
        <v>65</v>
      </c>
      <c r="J673">
        <v>4</v>
      </c>
      <c r="K673">
        <v>15387.59</v>
      </c>
      <c r="L673">
        <v>10</v>
      </c>
      <c r="M673">
        <v>61550.36</v>
      </c>
      <c r="N673">
        <v>49312.3</v>
      </c>
      <c r="O673">
        <v>12238.06</v>
      </c>
      <c r="P673" t="s">
        <v>73</v>
      </c>
      <c r="Q673">
        <v>1</v>
      </c>
      <c r="R673" t="s">
        <v>30</v>
      </c>
      <c r="S673" t="s">
        <v>31</v>
      </c>
      <c r="T673">
        <v>2024</v>
      </c>
    </row>
    <row r="674" spans="1:20" x14ac:dyDescent="0.3">
      <c r="A674" t="s">
        <v>1106</v>
      </c>
      <c r="B674" t="s">
        <v>887</v>
      </c>
      <c r="C674" t="s">
        <v>61</v>
      </c>
      <c r="D674" t="s">
        <v>98</v>
      </c>
      <c r="E674" t="s">
        <v>99</v>
      </c>
      <c r="F674" t="s">
        <v>54</v>
      </c>
      <c r="G674" t="s">
        <v>55</v>
      </c>
      <c r="H674" t="s">
        <v>117</v>
      </c>
      <c r="I674" t="s">
        <v>57</v>
      </c>
      <c r="J674">
        <v>1</v>
      </c>
      <c r="K674">
        <v>23806.639999999999</v>
      </c>
      <c r="L674">
        <v>30</v>
      </c>
      <c r="M674">
        <v>23806.639999999999</v>
      </c>
      <c r="N674">
        <v>15759.75</v>
      </c>
      <c r="O674">
        <v>8046.89</v>
      </c>
      <c r="P674" t="s">
        <v>29</v>
      </c>
      <c r="Q674">
        <v>2.5</v>
      </c>
      <c r="R674" t="s">
        <v>30</v>
      </c>
      <c r="S674" t="s">
        <v>94</v>
      </c>
      <c r="T674">
        <v>2024</v>
      </c>
    </row>
    <row r="675" spans="1:20" x14ac:dyDescent="0.3">
      <c r="A675" t="s">
        <v>1107</v>
      </c>
      <c r="B675" t="s">
        <v>621</v>
      </c>
      <c r="C675" t="s">
        <v>34</v>
      </c>
      <c r="D675" t="s">
        <v>69</v>
      </c>
      <c r="E675" t="s">
        <v>70</v>
      </c>
      <c r="F675" t="s">
        <v>45</v>
      </c>
      <c r="G675" t="s">
        <v>105</v>
      </c>
      <c r="H675" t="s">
        <v>176</v>
      </c>
      <c r="I675" t="s">
        <v>101</v>
      </c>
      <c r="J675">
        <v>1</v>
      </c>
      <c r="K675">
        <v>28568.97</v>
      </c>
      <c r="L675">
        <v>20</v>
      </c>
      <c r="M675">
        <v>28568.97</v>
      </c>
      <c r="N675">
        <v>21763.02</v>
      </c>
      <c r="O675">
        <v>6805.95</v>
      </c>
      <c r="P675" t="s">
        <v>29</v>
      </c>
      <c r="Q675">
        <v>1</v>
      </c>
      <c r="R675" t="s">
        <v>66</v>
      </c>
      <c r="S675" t="s">
        <v>78</v>
      </c>
      <c r="T675">
        <v>2024</v>
      </c>
    </row>
    <row r="676" spans="1:20" x14ac:dyDescent="0.3">
      <c r="A676" t="s">
        <v>1108</v>
      </c>
      <c r="B676" t="s">
        <v>1095</v>
      </c>
      <c r="C676" t="s">
        <v>34</v>
      </c>
      <c r="D676" t="s">
        <v>125</v>
      </c>
      <c r="E676" t="s">
        <v>139</v>
      </c>
      <c r="F676" t="s">
        <v>54</v>
      </c>
      <c r="G676" t="s">
        <v>201</v>
      </c>
      <c r="H676" t="s">
        <v>179</v>
      </c>
      <c r="I676" t="s">
        <v>93</v>
      </c>
      <c r="J676">
        <v>1</v>
      </c>
      <c r="K676">
        <v>40753.519999999997</v>
      </c>
      <c r="L676">
        <v>15</v>
      </c>
      <c r="M676">
        <v>40753.519999999997</v>
      </c>
      <c r="N676">
        <v>31262.82</v>
      </c>
      <c r="O676">
        <v>9490.7000000000007</v>
      </c>
      <c r="P676" t="s">
        <v>29</v>
      </c>
      <c r="Q676">
        <v>4.2</v>
      </c>
      <c r="R676" t="s">
        <v>30</v>
      </c>
      <c r="S676" t="s">
        <v>94</v>
      </c>
      <c r="T676">
        <v>2024</v>
      </c>
    </row>
    <row r="677" spans="1:20" x14ac:dyDescent="0.3">
      <c r="A677" t="s">
        <v>1109</v>
      </c>
      <c r="B677" t="s">
        <v>1110</v>
      </c>
      <c r="C677" t="s">
        <v>22</v>
      </c>
      <c r="D677" t="s">
        <v>132</v>
      </c>
      <c r="E677" t="s">
        <v>158</v>
      </c>
      <c r="F677" t="s">
        <v>54</v>
      </c>
      <c r="G677" t="s">
        <v>201</v>
      </c>
      <c r="H677" t="s">
        <v>92</v>
      </c>
      <c r="I677" t="s">
        <v>118</v>
      </c>
      <c r="J677">
        <v>4</v>
      </c>
      <c r="K677">
        <v>38571.81</v>
      </c>
      <c r="L677">
        <v>30</v>
      </c>
      <c r="M677">
        <v>154287.24</v>
      </c>
      <c r="N677">
        <v>112731.09</v>
      </c>
      <c r="O677">
        <v>41556.15</v>
      </c>
      <c r="P677" t="s">
        <v>113</v>
      </c>
      <c r="Q677">
        <v>1.2</v>
      </c>
      <c r="R677" t="s">
        <v>30</v>
      </c>
      <c r="S677" t="s">
        <v>94</v>
      </c>
      <c r="T677">
        <v>2024</v>
      </c>
    </row>
    <row r="678" spans="1:20" x14ac:dyDescent="0.3">
      <c r="A678" t="s">
        <v>1111</v>
      </c>
      <c r="B678" t="s">
        <v>329</v>
      </c>
      <c r="C678" t="s">
        <v>200</v>
      </c>
      <c r="D678" t="s">
        <v>52</v>
      </c>
      <c r="E678" t="s">
        <v>53</v>
      </c>
      <c r="F678" t="s">
        <v>54</v>
      </c>
      <c r="G678" t="s">
        <v>55</v>
      </c>
      <c r="H678" t="s">
        <v>117</v>
      </c>
      <c r="I678" t="s">
        <v>185</v>
      </c>
      <c r="J678">
        <v>5</v>
      </c>
      <c r="K678">
        <v>25161.91</v>
      </c>
      <c r="L678">
        <v>25</v>
      </c>
      <c r="M678">
        <v>125809.55</v>
      </c>
      <c r="N678">
        <v>89712.97</v>
      </c>
      <c r="O678">
        <v>36096.58</v>
      </c>
      <c r="P678" t="s">
        <v>73</v>
      </c>
      <c r="Q678">
        <v>3.4</v>
      </c>
      <c r="R678" t="s">
        <v>30</v>
      </c>
      <c r="S678" t="s">
        <v>49</v>
      </c>
      <c r="T678">
        <v>2024</v>
      </c>
    </row>
    <row r="679" spans="1:20" x14ac:dyDescent="0.3">
      <c r="A679" t="s">
        <v>1112</v>
      </c>
      <c r="B679" t="s">
        <v>409</v>
      </c>
      <c r="C679" t="s">
        <v>61</v>
      </c>
      <c r="D679" t="s">
        <v>98</v>
      </c>
      <c r="E679" t="s">
        <v>99</v>
      </c>
      <c r="F679" t="s">
        <v>45</v>
      </c>
      <c r="G679" t="s">
        <v>46</v>
      </c>
      <c r="H679" t="s">
        <v>100</v>
      </c>
      <c r="I679" t="s">
        <v>101</v>
      </c>
      <c r="J679">
        <v>3</v>
      </c>
      <c r="K679">
        <v>12124.19</v>
      </c>
      <c r="L679">
        <v>10</v>
      </c>
      <c r="M679">
        <v>36372.57</v>
      </c>
      <c r="N679">
        <v>24872.44</v>
      </c>
      <c r="O679">
        <v>11500.13</v>
      </c>
      <c r="P679" t="s">
        <v>29</v>
      </c>
      <c r="Q679">
        <v>4.7</v>
      </c>
      <c r="R679" t="s">
        <v>159</v>
      </c>
      <c r="S679" t="s">
        <v>58</v>
      </c>
      <c r="T679">
        <v>2024</v>
      </c>
    </row>
    <row r="680" spans="1:20" x14ac:dyDescent="0.3">
      <c r="A680" t="s">
        <v>1113</v>
      </c>
      <c r="B680" t="s">
        <v>820</v>
      </c>
      <c r="C680" t="s">
        <v>61</v>
      </c>
      <c r="D680" t="s">
        <v>35</v>
      </c>
      <c r="E680" t="s">
        <v>36</v>
      </c>
      <c r="F680" t="s">
        <v>25</v>
      </c>
      <c r="G680" t="s">
        <v>26</v>
      </c>
      <c r="H680" t="s">
        <v>27</v>
      </c>
      <c r="I680" t="s">
        <v>112</v>
      </c>
      <c r="J680">
        <v>3</v>
      </c>
      <c r="K680">
        <v>2013.64</v>
      </c>
      <c r="L680">
        <v>10</v>
      </c>
      <c r="M680">
        <v>6040.92</v>
      </c>
      <c r="N680">
        <v>4015.96</v>
      </c>
      <c r="O680">
        <v>2024.96</v>
      </c>
      <c r="P680" t="s">
        <v>41</v>
      </c>
      <c r="Q680">
        <v>3.8</v>
      </c>
      <c r="R680" t="s">
        <v>30</v>
      </c>
      <c r="S680" t="s">
        <v>94</v>
      </c>
      <c r="T680">
        <v>2024</v>
      </c>
    </row>
    <row r="681" spans="1:20" x14ac:dyDescent="0.3">
      <c r="A681" t="s">
        <v>1114</v>
      </c>
      <c r="B681" t="s">
        <v>227</v>
      </c>
      <c r="C681" t="s">
        <v>22</v>
      </c>
      <c r="D681" t="s">
        <v>125</v>
      </c>
      <c r="E681" t="s">
        <v>139</v>
      </c>
      <c r="F681" t="s">
        <v>62</v>
      </c>
      <c r="G681" t="s">
        <v>71</v>
      </c>
      <c r="H681" t="s">
        <v>152</v>
      </c>
      <c r="I681" t="s">
        <v>165</v>
      </c>
      <c r="J681">
        <v>3</v>
      </c>
      <c r="K681">
        <v>6002.25</v>
      </c>
      <c r="L681">
        <v>10</v>
      </c>
      <c r="M681">
        <v>18006.75</v>
      </c>
      <c r="N681">
        <v>14247.66</v>
      </c>
      <c r="O681">
        <v>3759.09</v>
      </c>
      <c r="P681" t="s">
        <v>113</v>
      </c>
      <c r="Q681">
        <v>3.5</v>
      </c>
      <c r="R681" t="s">
        <v>30</v>
      </c>
      <c r="S681" t="s">
        <v>74</v>
      </c>
      <c r="T681">
        <v>2024</v>
      </c>
    </row>
    <row r="682" spans="1:20" x14ac:dyDescent="0.3">
      <c r="A682" t="s">
        <v>1115</v>
      </c>
      <c r="B682" t="s">
        <v>1116</v>
      </c>
      <c r="C682" t="s">
        <v>80</v>
      </c>
      <c r="D682" t="s">
        <v>125</v>
      </c>
      <c r="E682" t="s">
        <v>126</v>
      </c>
      <c r="F682" t="s">
        <v>25</v>
      </c>
      <c r="G682" t="s">
        <v>111</v>
      </c>
      <c r="H682" t="s">
        <v>235</v>
      </c>
      <c r="I682" t="s">
        <v>28</v>
      </c>
      <c r="J682">
        <v>4</v>
      </c>
      <c r="K682">
        <v>31332.42</v>
      </c>
      <c r="L682">
        <v>25</v>
      </c>
      <c r="M682">
        <v>125329.68</v>
      </c>
      <c r="N682">
        <v>82480.5</v>
      </c>
      <c r="O682">
        <v>42849.18</v>
      </c>
      <c r="P682" t="s">
        <v>122</v>
      </c>
      <c r="Q682">
        <v>1.4</v>
      </c>
      <c r="R682" t="s">
        <v>30</v>
      </c>
      <c r="S682" t="s">
        <v>31</v>
      </c>
      <c r="T682">
        <v>2024</v>
      </c>
    </row>
    <row r="683" spans="1:20" x14ac:dyDescent="0.3">
      <c r="A683" t="s">
        <v>1117</v>
      </c>
      <c r="B683" t="s">
        <v>319</v>
      </c>
      <c r="C683" t="s">
        <v>116</v>
      </c>
      <c r="D683" t="s">
        <v>98</v>
      </c>
      <c r="E683" t="s">
        <v>99</v>
      </c>
      <c r="F683" t="s">
        <v>62</v>
      </c>
      <c r="G683" t="s">
        <v>63</v>
      </c>
      <c r="H683" t="s">
        <v>152</v>
      </c>
      <c r="I683" t="s">
        <v>165</v>
      </c>
      <c r="J683">
        <v>1</v>
      </c>
      <c r="K683">
        <v>17539.189999999999</v>
      </c>
      <c r="L683">
        <v>5</v>
      </c>
      <c r="M683">
        <v>17539.189999999999</v>
      </c>
      <c r="N683">
        <v>11564.6</v>
      </c>
      <c r="O683">
        <v>5974.59</v>
      </c>
      <c r="P683" t="s">
        <v>73</v>
      </c>
      <c r="Q683">
        <v>3.9</v>
      </c>
      <c r="R683" t="s">
        <v>30</v>
      </c>
      <c r="S683" t="s">
        <v>78</v>
      </c>
      <c r="T683">
        <v>2024</v>
      </c>
    </row>
    <row r="684" spans="1:20" x14ac:dyDescent="0.3">
      <c r="A684" t="s">
        <v>1118</v>
      </c>
      <c r="B684" t="s">
        <v>486</v>
      </c>
      <c r="C684" t="s">
        <v>97</v>
      </c>
      <c r="D684" t="s">
        <v>81</v>
      </c>
      <c r="E684" t="s">
        <v>149</v>
      </c>
      <c r="F684" t="s">
        <v>25</v>
      </c>
      <c r="G684" t="s">
        <v>26</v>
      </c>
      <c r="H684" t="s">
        <v>221</v>
      </c>
      <c r="I684" t="s">
        <v>112</v>
      </c>
      <c r="J684">
        <v>2</v>
      </c>
      <c r="K684">
        <v>14865.47</v>
      </c>
      <c r="L684">
        <v>25</v>
      </c>
      <c r="M684">
        <v>29730.94</v>
      </c>
      <c r="N684">
        <v>21805.46</v>
      </c>
      <c r="O684">
        <v>7925.48</v>
      </c>
      <c r="P684" t="s">
        <v>41</v>
      </c>
      <c r="Q684">
        <v>1.6</v>
      </c>
      <c r="R684" t="s">
        <v>30</v>
      </c>
      <c r="S684" t="s">
        <v>162</v>
      </c>
      <c r="T684">
        <v>2024</v>
      </c>
    </row>
    <row r="685" spans="1:20" x14ac:dyDescent="0.3">
      <c r="A685" t="s">
        <v>1119</v>
      </c>
      <c r="B685" t="s">
        <v>300</v>
      </c>
      <c r="C685" t="s">
        <v>97</v>
      </c>
      <c r="D685" t="s">
        <v>132</v>
      </c>
      <c r="E685" t="s">
        <v>133</v>
      </c>
      <c r="F685" t="s">
        <v>37</v>
      </c>
      <c r="G685" t="s">
        <v>38</v>
      </c>
      <c r="H685" t="s">
        <v>327</v>
      </c>
      <c r="I685" t="s">
        <v>40</v>
      </c>
      <c r="J685">
        <v>5</v>
      </c>
      <c r="K685">
        <v>48130.6</v>
      </c>
      <c r="L685">
        <v>25</v>
      </c>
      <c r="M685">
        <v>240653</v>
      </c>
      <c r="N685">
        <v>161098.44</v>
      </c>
      <c r="O685">
        <v>79554.559999999998</v>
      </c>
      <c r="P685" t="s">
        <v>41</v>
      </c>
      <c r="Q685">
        <v>4</v>
      </c>
      <c r="R685" t="s">
        <v>30</v>
      </c>
      <c r="S685" t="s">
        <v>58</v>
      </c>
      <c r="T685">
        <v>2024</v>
      </c>
    </row>
    <row r="686" spans="1:20" x14ac:dyDescent="0.3">
      <c r="A686" t="s">
        <v>1120</v>
      </c>
      <c r="B686" t="s">
        <v>640</v>
      </c>
      <c r="C686" t="s">
        <v>136</v>
      </c>
      <c r="D686" t="s">
        <v>35</v>
      </c>
      <c r="E686" t="s">
        <v>36</v>
      </c>
      <c r="F686" t="s">
        <v>25</v>
      </c>
      <c r="G686" t="s">
        <v>111</v>
      </c>
      <c r="H686" t="s">
        <v>27</v>
      </c>
      <c r="I686" t="s">
        <v>112</v>
      </c>
      <c r="J686">
        <v>3</v>
      </c>
      <c r="K686">
        <v>8970.27</v>
      </c>
      <c r="L686">
        <v>30</v>
      </c>
      <c r="M686">
        <v>26910.81</v>
      </c>
      <c r="N686">
        <v>21561.26</v>
      </c>
      <c r="O686">
        <v>5349.55</v>
      </c>
      <c r="P686" t="s">
        <v>113</v>
      </c>
      <c r="Q686">
        <v>1.1000000000000001</v>
      </c>
      <c r="R686" t="s">
        <v>30</v>
      </c>
      <c r="S686" t="s">
        <v>119</v>
      </c>
      <c r="T686">
        <v>2024</v>
      </c>
    </row>
    <row r="687" spans="1:20" x14ac:dyDescent="0.3">
      <c r="A687" t="s">
        <v>1121</v>
      </c>
      <c r="B687" t="s">
        <v>212</v>
      </c>
      <c r="C687" t="s">
        <v>200</v>
      </c>
      <c r="D687" t="s">
        <v>81</v>
      </c>
      <c r="E687" t="s">
        <v>149</v>
      </c>
      <c r="F687" t="s">
        <v>54</v>
      </c>
      <c r="G687" t="s">
        <v>55</v>
      </c>
      <c r="H687" t="s">
        <v>91</v>
      </c>
      <c r="I687" t="s">
        <v>185</v>
      </c>
      <c r="J687">
        <v>2</v>
      </c>
      <c r="K687">
        <v>14359.73</v>
      </c>
      <c r="L687">
        <v>5</v>
      </c>
      <c r="M687">
        <v>28719.46</v>
      </c>
      <c r="N687">
        <v>23818.55</v>
      </c>
      <c r="O687">
        <v>4900.91</v>
      </c>
      <c r="P687" t="s">
        <v>41</v>
      </c>
      <c r="Q687">
        <v>4.4000000000000004</v>
      </c>
      <c r="R687" t="s">
        <v>30</v>
      </c>
      <c r="S687" t="s">
        <v>119</v>
      </c>
      <c r="T687">
        <v>2024</v>
      </c>
    </row>
    <row r="688" spans="1:20" x14ac:dyDescent="0.3">
      <c r="A688" t="s">
        <v>1122</v>
      </c>
      <c r="B688" t="s">
        <v>1123</v>
      </c>
      <c r="C688" t="s">
        <v>61</v>
      </c>
      <c r="D688" t="s">
        <v>132</v>
      </c>
      <c r="E688" t="s">
        <v>158</v>
      </c>
      <c r="F688" t="s">
        <v>45</v>
      </c>
      <c r="G688" t="s">
        <v>105</v>
      </c>
      <c r="H688" t="s">
        <v>100</v>
      </c>
      <c r="I688" t="s">
        <v>169</v>
      </c>
      <c r="J688">
        <v>4</v>
      </c>
      <c r="K688">
        <v>17009.73</v>
      </c>
      <c r="L688">
        <v>25</v>
      </c>
      <c r="M688">
        <v>68038.92</v>
      </c>
      <c r="N688">
        <v>52206.06</v>
      </c>
      <c r="O688">
        <v>15832.86</v>
      </c>
      <c r="P688" t="s">
        <v>29</v>
      </c>
      <c r="Q688">
        <v>3.7</v>
      </c>
      <c r="R688" t="s">
        <v>30</v>
      </c>
      <c r="S688" t="s">
        <v>58</v>
      </c>
      <c r="T688">
        <v>2024</v>
      </c>
    </row>
    <row r="689" spans="1:20" x14ac:dyDescent="0.3">
      <c r="A689" t="s">
        <v>1124</v>
      </c>
      <c r="B689" t="s">
        <v>135</v>
      </c>
      <c r="C689" t="s">
        <v>34</v>
      </c>
      <c r="D689" t="s">
        <v>35</v>
      </c>
      <c r="E689" t="s">
        <v>36</v>
      </c>
      <c r="F689" t="s">
        <v>37</v>
      </c>
      <c r="G689" t="s">
        <v>38</v>
      </c>
      <c r="H689" t="s">
        <v>140</v>
      </c>
      <c r="I689" t="s">
        <v>40</v>
      </c>
      <c r="J689">
        <v>2</v>
      </c>
      <c r="K689">
        <v>10385.24</v>
      </c>
      <c r="L689">
        <v>10</v>
      </c>
      <c r="M689">
        <v>20770.48</v>
      </c>
      <c r="N689">
        <v>15995.26</v>
      </c>
      <c r="O689">
        <v>4775.22</v>
      </c>
      <c r="P689" t="s">
        <v>41</v>
      </c>
      <c r="Q689">
        <v>4.7</v>
      </c>
      <c r="R689" t="s">
        <v>30</v>
      </c>
      <c r="S689" t="s">
        <v>94</v>
      </c>
      <c r="T689">
        <v>2024</v>
      </c>
    </row>
    <row r="690" spans="1:20" x14ac:dyDescent="0.3">
      <c r="A690" t="s">
        <v>1125</v>
      </c>
      <c r="B690" t="s">
        <v>1126</v>
      </c>
      <c r="C690" t="s">
        <v>90</v>
      </c>
      <c r="D690" t="s">
        <v>132</v>
      </c>
      <c r="E690" t="s">
        <v>133</v>
      </c>
      <c r="F690" t="s">
        <v>54</v>
      </c>
      <c r="G690" t="s">
        <v>91</v>
      </c>
      <c r="H690" t="s">
        <v>92</v>
      </c>
      <c r="I690" t="s">
        <v>57</v>
      </c>
      <c r="J690">
        <v>2</v>
      </c>
      <c r="K690">
        <v>28261.1</v>
      </c>
      <c r="L690">
        <v>30</v>
      </c>
      <c r="M690">
        <v>56522.2</v>
      </c>
      <c r="N690">
        <v>40937</v>
      </c>
      <c r="O690">
        <v>15585.2</v>
      </c>
      <c r="P690" t="s">
        <v>73</v>
      </c>
      <c r="Q690">
        <v>4.3</v>
      </c>
      <c r="R690" t="s">
        <v>30</v>
      </c>
      <c r="S690" t="s">
        <v>87</v>
      </c>
      <c r="T690">
        <v>2025</v>
      </c>
    </row>
    <row r="691" spans="1:20" x14ac:dyDescent="0.3">
      <c r="A691" t="s">
        <v>1127</v>
      </c>
      <c r="B691" t="s">
        <v>364</v>
      </c>
      <c r="C691" t="s">
        <v>116</v>
      </c>
      <c r="D691" t="s">
        <v>69</v>
      </c>
      <c r="E691" t="s">
        <v>70</v>
      </c>
      <c r="F691" t="s">
        <v>37</v>
      </c>
      <c r="G691" t="s">
        <v>38</v>
      </c>
      <c r="H691" t="s">
        <v>39</v>
      </c>
      <c r="I691" t="s">
        <v>40</v>
      </c>
      <c r="J691">
        <v>2</v>
      </c>
      <c r="K691">
        <v>23320.94</v>
      </c>
      <c r="L691">
        <v>15</v>
      </c>
      <c r="M691">
        <v>46641.88</v>
      </c>
      <c r="N691">
        <v>38174.199999999997</v>
      </c>
      <c r="O691">
        <v>8467.68</v>
      </c>
      <c r="P691" t="s">
        <v>73</v>
      </c>
      <c r="Q691">
        <v>3.2</v>
      </c>
      <c r="R691" t="s">
        <v>30</v>
      </c>
      <c r="S691" t="s">
        <v>49</v>
      </c>
      <c r="T691">
        <v>2024</v>
      </c>
    </row>
    <row r="692" spans="1:20" x14ac:dyDescent="0.3">
      <c r="A692" t="s">
        <v>1128</v>
      </c>
      <c r="B692" t="s">
        <v>423</v>
      </c>
      <c r="C692" t="s">
        <v>22</v>
      </c>
      <c r="D692" t="s">
        <v>98</v>
      </c>
      <c r="E692" t="s">
        <v>99</v>
      </c>
      <c r="F692" t="s">
        <v>37</v>
      </c>
      <c r="G692" t="s">
        <v>38</v>
      </c>
      <c r="H692" t="s">
        <v>140</v>
      </c>
      <c r="I692" t="s">
        <v>40</v>
      </c>
      <c r="J692">
        <v>5</v>
      </c>
      <c r="K692">
        <v>16038</v>
      </c>
      <c r="L692">
        <v>25</v>
      </c>
      <c r="M692">
        <v>80190</v>
      </c>
      <c r="N692">
        <v>64860.36</v>
      </c>
      <c r="O692">
        <v>15329.64</v>
      </c>
      <c r="P692" t="s">
        <v>122</v>
      </c>
      <c r="Q692">
        <v>2.2999999999999998</v>
      </c>
      <c r="R692" t="s">
        <v>30</v>
      </c>
      <c r="S692" t="s">
        <v>42</v>
      </c>
      <c r="T692">
        <v>2024</v>
      </c>
    </row>
    <row r="693" spans="1:20" x14ac:dyDescent="0.3">
      <c r="A693" t="s">
        <v>1129</v>
      </c>
      <c r="B693" t="s">
        <v>1123</v>
      </c>
      <c r="C693" t="s">
        <v>136</v>
      </c>
      <c r="D693" t="s">
        <v>98</v>
      </c>
      <c r="E693" t="s">
        <v>99</v>
      </c>
      <c r="F693" t="s">
        <v>37</v>
      </c>
      <c r="G693" t="s">
        <v>38</v>
      </c>
      <c r="H693" t="s">
        <v>77</v>
      </c>
      <c r="I693" t="s">
        <v>40</v>
      </c>
      <c r="J693">
        <v>5</v>
      </c>
      <c r="K693">
        <v>43719.71</v>
      </c>
      <c r="L693">
        <v>10</v>
      </c>
      <c r="M693">
        <v>218598.55</v>
      </c>
      <c r="N693">
        <v>172670.85</v>
      </c>
      <c r="O693">
        <v>45927.7</v>
      </c>
      <c r="P693" t="s">
        <v>41</v>
      </c>
      <c r="Q693">
        <v>3.4</v>
      </c>
      <c r="R693" t="s">
        <v>30</v>
      </c>
      <c r="S693" t="s">
        <v>58</v>
      </c>
      <c r="T693">
        <v>2024</v>
      </c>
    </row>
    <row r="694" spans="1:20" x14ac:dyDescent="0.3">
      <c r="A694" t="s">
        <v>1130</v>
      </c>
      <c r="B694" t="s">
        <v>973</v>
      </c>
      <c r="C694" t="s">
        <v>61</v>
      </c>
      <c r="D694" t="s">
        <v>98</v>
      </c>
      <c r="E694" t="s">
        <v>99</v>
      </c>
      <c r="F694" t="s">
        <v>25</v>
      </c>
      <c r="G694" t="s">
        <v>111</v>
      </c>
      <c r="H694" t="s">
        <v>129</v>
      </c>
      <c r="I694" t="s">
        <v>112</v>
      </c>
      <c r="J694">
        <v>2</v>
      </c>
      <c r="K694">
        <v>19669.48</v>
      </c>
      <c r="L694">
        <v>15</v>
      </c>
      <c r="M694">
        <v>39338.959999999999</v>
      </c>
      <c r="N694">
        <v>28730.54</v>
      </c>
      <c r="O694">
        <v>10608.42</v>
      </c>
      <c r="P694" t="s">
        <v>73</v>
      </c>
      <c r="Q694">
        <v>2</v>
      </c>
      <c r="R694" t="s">
        <v>30</v>
      </c>
      <c r="S694" t="s">
        <v>49</v>
      </c>
      <c r="T694">
        <v>2024</v>
      </c>
    </row>
    <row r="695" spans="1:20" x14ac:dyDescent="0.3">
      <c r="A695" t="s">
        <v>1131</v>
      </c>
      <c r="B695" t="s">
        <v>716</v>
      </c>
      <c r="C695" t="s">
        <v>200</v>
      </c>
      <c r="D695" t="s">
        <v>132</v>
      </c>
      <c r="E695" t="s">
        <v>158</v>
      </c>
      <c r="F695" t="s">
        <v>45</v>
      </c>
      <c r="G695" t="s">
        <v>46</v>
      </c>
      <c r="H695" t="s">
        <v>106</v>
      </c>
      <c r="I695" t="s">
        <v>169</v>
      </c>
      <c r="J695">
        <v>1</v>
      </c>
      <c r="K695">
        <v>27396.01</v>
      </c>
      <c r="L695">
        <v>10</v>
      </c>
      <c r="M695">
        <v>27396.01</v>
      </c>
      <c r="N695">
        <v>22185.71</v>
      </c>
      <c r="O695">
        <v>5210.3</v>
      </c>
      <c r="P695" t="s">
        <v>113</v>
      </c>
      <c r="Q695">
        <v>4.9000000000000004</v>
      </c>
      <c r="R695" t="s">
        <v>30</v>
      </c>
      <c r="S695" t="s">
        <v>94</v>
      </c>
      <c r="T695">
        <v>2024</v>
      </c>
    </row>
    <row r="696" spans="1:20" x14ac:dyDescent="0.3">
      <c r="A696" t="s">
        <v>1132</v>
      </c>
      <c r="B696" t="s">
        <v>580</v>
      </c>
      <c r="C696" t="s">
        <v>80</v>
      </c>
      <c r="D696" t="s">
        <v>23</v>
      </c>
      <c r="E696" t="s">
        <v>24</v>
      </c>
      <c r="F696" t="s">
        <v>37</v>
      </c>
      <c r="G696" t="s">
        <v>38</v>
      </c>
      <c r="H696" t="s">
        <v>86</v>
      </c>
      <c r="I696" t="s">
        <v>40</v>
      </c>
      <c r="J696">
        <v>5</v>
      </c>
      <c r="K696">
        <v>13763.17</v>
      </c>
      <c r="L696">
        <v>30</v>
      </c>
      <c r="M696">
        <v>68815.850000000006</v>
      </c>
      <c r="N696">
        <v>49742.6</v>
      </c>
      <c r="O696">
        <v>19073.25</v>
      </c>
      <c r="P696" t="s">
        <v>73</v>
      </c>
      <c r="Q696">
        <v>3.6</v>
      </c>
      <c r="R696" t="s">
        <v>159</v>
      </c>
      <c r="S696" t="s">
        <v>49</v>
      </c>
      <c r="T696">
        <v>2024</v>
      </c>
    </row>
    <row r="697" spans="1:20" x14ac:dyDescent="0.3">
      <c r="A697" t="s">
        <v>1133</v>
      </c>
      <c r="B697" t="s">
        <v>450</v>
      </c>
      <c r="C697" t="s">
        <v>61</v>
      </c>
      <c r="D697" t="s">
        <v>35</v>
      </c>
      <c r="E697" t="s">
        <v>36</v>
      </c>
      <c r="F697" t="s">
        <v>62</v>
      </c>
      <c r="G697" t="s">
        <v>71</v>
      </c>
      <c r="H697" t="s">
        <v>64</v>
      </c>
      <c r="I697" t="s">
        <v>65</v>
      </c>
      <c r="J697">
        <v>2</v>
      </c>
      <c r="K697">
        <v>6421.63</v>
      </c>
      <c r="L697">
        <v>20</v>
      </c>
      <c r="M697">
        <v>12843.26</v>
      </c>
      <c r="N697">
        <v>8868.65</v>
      </c>
      <c r="O697">
        <v>3974.61</v>
      </c>
      <c r="P697" t="s">
        <v>144</v>
      </c>
      <c r="Q697">
        <v>1.5</v>
      </c>
      <c r="R697" t="s">
        <v>159</v>
      </c>
      <c r="S697" t="s">
        <v>94</v>
      </c>
      <c r="T697">
        <v>2024</v>
      </c>
    </row>
    <row r="698" spans="1:20" x14ac:dyDescent="0.3">
      <c r="A698" t="s">
        <v>1134</v>
      </c>
      <c r="B698" t="s">
        <v>151</v>
      </c>
      <c r="C698" t="s">
        <v>168</v>
      </c>
      <c r="D698" t="s">
        <v>132</v>
      </c>
      <c r="E698" t="s">
        <v>133</v>
      </c>
      <c r="F698" t="s">
        <v>25</v>
      </c>
      <c r="G698" t="s">
        <v>26</v>
      </c>
      <c r="H698" t="s">
        <v>235</v>
      </c>
      <c r="I698" t="s">
        <v>112</v>
      </c>
      <c r="J698">
        <v>4</v>
      </c>
      <c r="K698">
        <v>4617.2</v>
      </c>
      <c r="L698">
        <v>20</v>
      </c>
      <c r="M698">
        <v>18468.8</v>
      </c>
      <c r="N698">
        <v>14166.36</v>
      </c>
      <c r="O698">
        <v>4302.4399999999996</v>
      </c>
      <c r="P698" t="s">
        <v>41</v>
      </c>
      <c r="Q698">
        <v>3.8</v>
      </c>
      <c r="R698" t="s">
        <v>30</v>
      </c>
      <c r="S698" t="s">
        <v>94</v>
      </c>
      <c r="T698">
        <v>2024</v>
      </c>
    </row>
    <row r="699" spans="1:20" x14ac:dyDescent="0.3">
      <c r="A699" t="s">
        <v>1135</v>
      </c>
      <c r="B699" t="s">
        <v>593</v>
      </c>
      <c r="C699" t="s">
        <v>90</v>
      </c>
      <c r="D699" t="s">
        <v>81</v>
      </c>
      <c r="E699" t="s">
        <v>128</v>
      </c>
      <c r="F699" t="s">
        <v>37</v>
      </c>
      <c r="G699" t="s">
        <v>38</v>
      </c>
      <c r="H699" t="s">
        <v>140</v>
      </c>
      <c r="I699" t="s">
        <v>40</v>
      </c>
      <c r="J699">
        <v>5</v>
      </c>
      <c r="K699">
        <v>6022.31</v>
      </c>
      <c r="L699">
        <v>25</v>
      </c>
      <c r="M699">
        <v>30111.55</v>
      </c>
      <c r="N699">
        <v>20853.740000000002</v>
      </c>
      <c r="O699">
        <v>9257.81</v>
      </c>
      <c r="P699" t="s">
        <v>122</v>
      </c>
      <c r="Q699">
        <v>3.5</v>
      </c>
      <c r="R699" t="s">
        <v>159</v>
      </c>
      <c r="S699" t="s">
        <v>162</v>
      </c>
      <c r="T699">
        <v>2024</v>
      </c>
    </row>
    <row r="700" spans="1:20" x14ac:dyDescent="0.3">
      <c r="A700" t="s">
        <v>1136</v>
      </c>
      <c r="B700" t="s">
        <v>554</v>
      </c>
      <c r="C700" t="s">
        <v>116</v>
      </c>
      <c r="D700" t="s">
        <v>23</v>
      </c>
      <c r="E700" t="s">
        <v>24</v>
      </c>
      <c r="F700" t="s">
        <v>45</v>
      </c>
      <c r="G700" t="s">
        <v>46</v>
      </c>
      <c r="H700" t="s">
        <v>47</v>
      </c>
      <c r="I700" t="s">
        <v>101</v>
      </c>
      <c r="J700">
        <v>4</v>
      </c>
      <c r="K700">
        <v>38968.519999999997</v>
      </c>
      <c r="L700">
        <v>20</v>
      </c>
      <c r="M700">
        <v>155874.07999999999</v>
      </c>
      <c r="N700">
        <v>101824.09</v>
      </c>
      <c r="O700">
        <v>54049.99</v>
      </c>
      <c r="P700" t="s">
        <v>144</v>
      </c>
      <c r="Q700">
        <v>3.9</v>
      </c>
      <c r="R700" t="s">
        <v>30</v>
      </c>
      <c r="S700" t="s">
        <v>58</v>
      </c>
      <c r="T700">
        <v>2024</v>
      </c>
    </row>
    <row r="701" spans="1:20" x14ac:dyDescent="0.3">
      <c r="A701" t="s">
        <v>1137</v>
      </c>
      <c r="B701" t="s">
        <v>175</v>
      </c>
      <c r="C701" t="s">
        <v>90</v>
      </c>
      <c r="D701" t="s">
        <v>81</v>
      </c>
      <c r="E701" t="s">
        <v>128</v>
      </c>
      <c r="F701" t="s">
        <v>54</v>
      </c>
      <c r="G701" t="s">
        <v>55</v>
      </c>
      <c r="H701" t="s">
        <v>179</v>
      </c>
      <c r="I701" t="s">
        <v>180</v>
      </c>
      <c r="J701">
        <v>5</v>
      </c>
      <c r="K701">
        <v>20435.34</v>
      </c>
      <c r="L701">
        <v>5</v>
      </c>
      <c r="M701">
        <v>102176.7</v>
      </c>
      <c r="N701">
        <v>72368.539999999994</v>
      </c>
      <c r="O701">
        <v>29808.16</v>
      </c>
      <c r="P701" t="s">
        <v>122</v>
      </c>
      <c r="Q701">
        <v>3.8</v>
      </c>
      <c r="R701" t="s">
        <v>30</v>
      </c>
      <c r="S701" t="s">
        <v>74</v>
      </c>
      <c r="T701">
        <v>2024</v>
      </c>
    </row>
    <row r="702" spans="1:20" x14ac:dyDescent="0.3">
      <c r="A702" t="s">
        <v>1138</v>
      </c>
      <c r="B702" t="s">
        <v>797</v>
      </c>
      <c r="C702" t="s">
        <v>116</v>
      </c>
      <c r="D702" t="s">
        <v>23</v>
      </c>
      <c r="E702" t="s">
        <v>24</v>
      </c>
      <c r="F702" t="s">
        <v>54</v>
      </c>
      <c r="G702" t="s">
        <v>201</v>
      </c>
      <c r="H702" t="s">
        <v>92</v>
      </c>
      <c r="I702" t="s">
        <v>93</v>
      </c>
      <c r="J702">
        <v>2</v>
      </c>
      <c r="K702">
        <v>25115.71</v>
      </c>
      <c r="L702">
        <v>5</v>
      </c>
      <c r="M702">
        <v>50231.42</v>
      </c>
      <c r="N702">
        <v>41375.919999999998</v>
      </c>
      <c r="O702">
        <v>8855.5</v>
      </c>
      <c r="P702" t="s">
        <v>73</v>
      </c>
      <c r="Q702">
        <v>2.5</v>
      </c>
      <c r="R702" t="s">
        <v>30</v>
      </c>
      <c r="S702" t="s">
        <v>162</v>
      </c>
      <c r="T702">
        <v>2024</v>
      </c>
    </row>
    <row r="703" spans="1:20" x14ac:dyDescent="0.3">
      <c r="A703" t="s">
        <v>1139</v>
      </c>
      <c r="B703" t="s">
        <v>104</v>
      </c>
      <c r="C703" t="s">
        <v>116</v>
      </c>
      <c r="D703" t="s">
        <v>35</v>
      </c>
      <c r="E703" t="s">
        <v>36</v>
      </c>
      <c r="F703" t="s">
        <v>54</v>
      </c>
      <c r="G703" t="s">
        <v>55</v>
      </c>
      <c r="H703" t="s">
        <v>91</v>
      </c>
      <c r="I703" t="s">
        <v>93</v>
      </c>
      <c r="J703">
        <v>1</v>
      </c>
      <c r="K703">
        <v>36115.480000000003</v>
      </c>
      <c r="L703">
        <v>15</v>
      </c>
      <c r="M703">
        <v>36115.480000000003</v>
      </c>
      <c r="N703">
        <v>24094.91</v>
      </c>
      <c r="O703">
        <v>12020.57</v>
      </c>
      <c r="P703" t="s">
        <v>41</v>
      </c>
      <c r="Q703">
        <v>3</v>
      </c>
      <c r="R703" t="s">
        <v>30</v>
      </c>
      <c r="S703" t="s">
        <v>107</v>
      </c>
      <c r="T703">
        <v>2024</v>
      </c>
    </row>
    <row r="704" spans="1:20" x14ac:dyDescent="0.3">
      <c r="A704" t="s">
        <v>1140</v>
      </c>
      <c r="B704" t="s">
        <v>1116</v>
      </c>
      <c r="C704" t="s">
        <v>61</v>
      </c>
      <c r="D704" t="s">
        <v>98</v>
      </c>
      <c r="E704" t="s">
        <v>99</v>
      </c>
      <c r="F704" t="s">
        <v>62</v>
      </c>
      <c r="G704" t="s">
        <v>71</v>
      </c>
      <c r="H704" t="s">
        <v>83</v>
      </c>
      <c r="I704" t="s">
        <v>65</v>
      </c>
      <c r="J704">
        <v>2</v>
      </c>
      <c r="K704">
        <v>13372.74</v>
      </c>
      <c r="L704">
        <v>30</v>
      </c>
      <c r="M704">
        <v>26745.48</v>
      </c>
      <c r="N704">
        <v>21363.759999999998</v>
      </c>
      <c r="O704">
        <v>5381.72</v>
      </c>
      <c r="P704" t="s">
        <v>73</v>
      </c>
      <c r="Q704">
        <v>1.7</v>
      </c>
      <c r="R704" t="s">
        <v>30</v>
      </c>
      <c r="S704" t="s">
        <v>31</v>
      </c>
      <c r="T704">
        <v>2024</v>
      </c>
    </row>
    <row r="705" spans="1:20" x14ac:dyDescent="0.3">
      <c r="A705" t="s">
        <v>1141</v>
      </c>
      <c r="B705" t="s">
        <v>488</v>
      </c>
      <c r="C705" t="s">
        <v>97</v>
      </c>
      <c r="D705" t="s">
        <v>98</v>
      </c>
      <c r="E705" t="s">
        <v>99</v>
      </c>
      <c r="F705" t="s">
        <v>25</v>
      </c>
      <c r="G705" t="s">
        <v>26</v>
      </c>
      <c r="H705" t="s">
        <v>27</v>
      </c>
      <c r="I705" t="s">
        <v>28</v>
      </c>
      <c r="J705">
        <v>1</v>
      </c>
      <c r="K705">
        <v>32472.59</v>
      </c>
      <c r="L705">
        <v>10</v>
      </c>
      <c r="M705">
        <v>32472.59</v>
      </c>
      <c r="N705">
        <v>25398.5</v>
      </c>
      <c r="O705">
        <v>7074.09</v>
      </c>
      <c r="P705" t="s">
        <v>73</v>
      </c>
      <c r="Q705">
        <v>1</v>
      </c>
      <c r="R705" t="s">
        <v>30</v>
      </c>
      <c r="S705" t="s">
        <v>94</v>
      </c>
      <c r="T705">
        <v>2024</v>
      </c>
    </row>
    <row r="706" spans="1:20" x14ac:dyDescent="0.3">
      <c r="A706" t="s">
        <v>1142</v>
      </c>
      <c r="B706" t="s">
        <v>1143</v>
      </c>
      <c r="C706" t="s">
        <v>200</v>
      </c>
      <c r="D706" t="s">
        <v>81</v>
      </c>
      <c r="E706" t="s">
        <v>82</v>
      </c>
      <c r="F706" t="s">
        <v>25</v>
      </c>
      <c r="G706" t="s">
        <v>26</v>
      </c>
      <c r="H706" t="s">
        <v>221</v>
      </c>
      <c r="I706" t="s">
        <v>28</v>
      </c>
      <c r="J706">
        <v>5</v>
      </c>
      <c r="K706">
        <v>12097.46</v>
      </c>
      <c r="L706">
        <v>20</v>
      </c>
      <c r="M706">
        <v>60487.3</v>
      </c>
      <c r="N706">
        <v>51115.55</v>
      </c>
      <c r="O706">
        <v>9371.75</v>
      </c>
      <c r="P706" t="s">
        <v>113</v>
      </c>
      <c r="Q706">
        <v>4.2</v>
      </c>
      <c r="R706" t="s">
        <v>30</v>
      </c>
      <c r="S706" t="s">
        <v>49</v>
      </c>
      <c r="T706">
        <v>2024</v>
      </c>
    </row>
    <row r="707" spans="1:20" x14ac:dyDescent="0.3">
      <c r="A707" t="s">
        <v>1144</v>
      </c>
      <c r="B707" t="s">
        <v>1145</v>
      </c>
      <c r="C707" t="s">
        <v>61</v>
      </c>
      <c r="D707" t="s">
        <v>125</v>
      </c>
      <c r="E707" t="s">
        <v>139</v>
      </c>
      <c r="F707" t="s">
        <v>25</v>
      </c>
      <c r="G707" t="s">
        <v>111</v>
      </c>
      <c r="H707" t="s">
        <v>129</v>
      </c>
      <c r="I707" t="s">
        <v>28</v>
      </c>
      <c r="J707">
        <v>3</v>
      </c>
      <c r="K707">
        <v>34446.42</v>
      </c>
      <c r="L707">
        <v>5</v>
      </c>
      <c r="M707">
        <v>103339.26</v>
      </c>
      <c r="N707">
        <v>75089.86</v>
      </c>
      <c r="O707">
        <v>28249.4</v>
      </c>
      <c r="P707" t="s">
        <v>41</v>
      </c>
      <c r="Q707">
        <v>2.4</v>
      </c>
      <c r="R707" t="s">
        <v>30</v>
      </c>
      <c r="S707" t="s">
        <v>102</v>
      </c>
      <c r="T707">
        <v>2024</v>
      </c>
    </row>
    <row r="708" spans="1:20" x14ac:dyDescent="0.3">
      <c r="A708" t="s">
        <v>1146</v>
      </c>
      <c r="B708" t="s">
        <v>504</v>
      </c>
      <c r="C708" t="s">
        <v>168</v>
      </c>
      <c r="D708" t="s">
        <v>132</v>
      </c>
      <c r="E708" t="s">
        <v>158</v>
      </c>
      <c r="F708" t="s">
        <v>25</v>
      </c>
      <c r="G708" t="s">
        <v>26</v>
      </c>
      <c r="H708" t="s">
        <v>27</v>
      </c>
      <c r="I708" t="s">
        <v>28</v>
      </c>
      <c r="J708">
        <v>4</v>
      </c>
      <c r="K708">
        <v>13420.4</v>
      </c>
      <c r="L708">
        <v>20</v>
      </c>
      <c r="M708">
        <v>53681.599999999999</v>
      </c>
      <c r="N708">
        <v>39795.019999999997</v>
      </c>
      <c r="O708">
        <v>13886.58</v>
      </c>
      <c r="P708" t="s">
        <v>113</v>
      </c>
      <c r="Q708">
        <v>4.7</v>
      </c>
      <c r="R708" t="s">
        <v>30</v>
      </c>
      <c r="S708" t="s">
        <v>42</v>
      </c>
      <c r="T708">
        <v>2024</v>
      </c>
    </row>
    <row r="709" spans="1:20" x14ac:dyDescent="0.3">
      <c r="A709" t="s">
        <v>1147</v>
      </c>
      <c r="B709" t="s">
        <v>504</v>
      </c>
      <c r="C709" t="s">
        <v>97</v>
      </c>
      <c r="D709" t="s">
        <v>81</v>
      </c>
      <c r="E709" t="s">
        <v>82</v>
      </c>
      <c r="F709" t="s">
        <v>25</v>
      </c>
      <c r="G709" t="s">
        <v>26</v>
      </c>
      <c r="H709" t="s">
        <v>121</v>
      </c>
      <c r="I709" t="s">
        <v>112</v>
      </c>
      <c r="J709">
        <v>3</v>
      </c>
      <c r="K709">
        <v>20686.939999999999</v>
      </c>
      <c r="L709">
        <v>15</v>
      </c>
      <c r="M709">
        <v>62060.82</v>
      </c>
      <c r="N709">
        <v>50302.58</v>
      </c>
      <c r="O709">
        <v>11758.24</v>
      </c>
      <c r="P709" t="s">
        <v>73</v>
      </c>
      <c r="Q709">
        <v>4.0999999999999996</v>
      </c>
      <c r="R709" t="s">
        <v>30</v>
      </c>
      <c r="S709" t="s">
        <v>42</v>
      </c>
      <c r="T709">
        <v>2024</v>
      </c>
    </row>
    <row r="710" spans="1:20" x14ac:dyDescent="0.3">
      <c r="A710" t="s">
        <v>1148</v>
      </c>
      <c r="B710" t="s">
        <v>1149</v>
      </c>
      <c r="C710" t="s">
        <v>136</v>
      </c>
      <c r="D710" t="s">
        <v>98</v>
      </c>
      <c r="E710" t="s">
        <v>99</v>
      </c>
      <c r="F710" t="s">
        <v>54</v>
      </c>
      <c r="G710" t="s">
        <v>55</v>
      </c>
      <c r="H710" t="s">
        <v>91</v>
      </c>
      <c r="I710" t="s">
        <v>185</v>
      </c>
      <c r="J710">
        <v>2</v>
      </c>
      <c r="K710">
        <v>29418.33</v>
      </c>
      <c r="L710">
        <v>20</v>
      </c>
      <c r="M710">
        <v>58836.66</v>
      </c>
      <c r="N710">
        <v>49900.18</v>
      </c>
      <c r="O710">
        <v>8936.48</v>
      </c>
      <c r="P710" t="s">
        <v>113</v>
      </c>
      <c r="Q710">
        <v>3.3</v>
      </c>
      <c r="R710" t="s">
        <v>30</v>
      </c>
      <c r="S710" t="s">
        <v>78</v>
      </c>
      <c r="T710">
        <v>2024</v>
      </c>
    </row>
    <row r="711" spans="1:20" x14ac:dyDescent="0.3">
      <c r="A711" t="s">
        <v>1150</v>
      </c>
      <c r="B711" t="s">
        <v>467</v>
      </c>
      <c r="C711" t="s">
        <v>116</v>
      </c>
      <c r="D711" t="s">
        <v>23</v>
      </c>
      <c r="E711" t="s">
        <v>24</v>
      </c>
      <c r="F711" t="s">
        <v>25</v>
      </c>
      <c r="G711" t="s">
        <v>111</v>
      </c>
      <c r="H711" t="s">
        <v>235</v>
      </c>
      <c r="I711" t="s">
        <v>112</v>
      </c>
      <c r="J711">
        <v>1</v>
      </c>
      <c r="K711">
        <v>6115.91</v>
      </c>
      <c r="L711">
        <v>25</v>
      </c>
      <c r="M711">
        <v>6115.91</v>
      </c>
      <c r="N711">
        <v>4321.8599999999997</v>
      </c>
      <c r="O711">
        <v>1794.05</v>
      </c>
      <c r="P711" t="s">
        <v>41</v>
      </c>
      <c r="Q711">
        <v>1.5</v>
      </c>
      <c r="R711" t="s">
        <v>30</v>
      </c>
      <c r="S711" t="s">
        <v>49</v>
      </c>
      <c r="T711">
        <v>2024</v>
      </c>
    </row>
    <row r="712" spans="1:20" x14ac:dyDescent="0.3">
      <c r="A712" t="s">
        <v>1151</v>
      </c>
      <c r="B712" t="s">
        <v>397</v>
      </c>
      <c r="C712" t="s">
        <v>200</v>
      </c>
      <c r="D712" t="s">
        <v>81</v>
      </c>
      <c r="E712" t="s">
        <v>149</v>
      </c>
      <c r="F712" t="s">
        <v>25</v>
      </c>
      <c r="G712" t="s">
        <v>26</v>
      </c>
      <c r="H712" t="s">
        <v>235</v>
      </c>
      <c r="I712" t="s">
        <v>112</v>
      </c>
      <c r="J712">
        <v>3</v>
      </c>
      <c r="K712">
        <v>33404.120000000003</v>
      </c>
      <c r="L712">
        <v>5</v>
      </c>
      <c r="M712">
        <v>100212.36</v>
      </c>
      <c r="N712">
        <v>84495.74</v>
      </c>
      <c r="O712">
        <v>15716.62</v>
      </c>
      <c r="P712" t="s">
        <v>29</v>
      </c>
      <c r="Q712">
        <v>2.7</v>
      </c>
      <c r="R712" t="s">
        <v>66</v>
      </c>
      <c r="S712" t="s">
        <v>162</v>
      </c>
      <c r="T712">
        <v>2024</v>
      </c>
    </row>
    <row r="713" spans="1:20" x14ac:dyDescent="0.3">
      <c r="A713" t="s">
        <v>1152</v>
      </c>
      <c r="B713" t="s">
        <v>1153</v>
      </c>
      <c r="C713" t="s">
        <v>34</v>
      </c>
      <c r="D713" t="s">
        <v>125</v>
      </c>
      <c r="E713" t="s">
        <v>139</v>
      </c>
      <c r="F713" t="s">
        <v>37</v>
      </c>
      <c r="G713" t="s">
        <v>38</v>
      </c>
      <c r="H713" t="s">
        <v>39</v>
      </c>
      <c r="I713" t="s">
        <v>40</v>
      </c>
      <c r="J713">
        <v>2</v>
      </c>
      <c r="K713">
        <v>40046.19</v>
      </c>
      <c r="L713">
        <v>30</v>
      </c>
      <c r="M713">
        <v>80092.38</v>
      </c>
      <c r="N713">
        <v>67849.75</v>
      </c>
      <c r="O713">
        <v>12242.63</v>
      </c>
      <c r="P713" t="s">
        <v>41</v>
      </c>
      <c r="Q713">
        <v>1.2</v>
      </c>
      <c r="R713" t="s">
        <v>30</v>
      </c>
      <c r="S713" t="s">
        <v>49</v>
      </c>
      <c r="T713">
        <v>2024</v>
      </c>
    </row>
    <row r="714" spans="1:20" x14ac:dyDescent="0.3">
      <c r="A714" t="s">
        <v>1154</v>
      </c>
      <c r="B714" t="s">
        <v>482</v>
      </c>
      <c r="C714" t="s">
        <v>22</v>
      </c>
      <c r="D714" t="s">
        <v>35</v>
      </c>
      <c r="E714" t="s">
        <v>36</v>
      </c>
      <c r="F714" t="s">
        <v>25</v>
      </c>
      <c r="G714" t="s">
        <v>111</v>
      </c>
      <c r="H714" t="s">
        <v>235</v>
      </c>
      <c r="I714" t="s">
        <v>112</v>
      </c>
      <c r="J714">
        <v>2</v>
      </c>
      <c r="K714">
        <v>22709.95</v>
      </c>
      <c r="L714">
        <v>20</v>
      </c>
      <c r="M714">
        <v>45419.9</v>
      </c>
      <c r="N714">
        <v>34238.019999999997</v>
      </c>
      <c r="O714">
        <v>11181.88</v>
      </c>
      <c r="P714" t="s">
        <v>122</v>
      </c>
      <c r="Q714">
        <v>4</v>
      </c>
      <c r="R714" t="s">
        <v>30</v>
      </c>
      <c r="S714" t="s">
        <v>74</v>
      </c>
      <c r="T714">
        <v>2024</v>
      </c>
    </row>
    <row r="715" spans="1:20" x14ac:dyDescent="0.3">
      <c r="A715" t="s">
        <v>1155</v>
      </c>
      <c r="B715" t="s">
        <v>1116</v>
      </c>
      <c r="C715" t="s">
        <v>200</v>
      </c>
      <c r="D715" t="s">
        <v>81</v>
      </c>
      <c r="E715" t="s">
        <v>149</v>
      </c>
      <c r="F715" t="s">
        <v>25</v>
      </c>
      <c r="G715" t="s">
        <v>111</v>
      </c>
      <c r="H715" t="s">
        <v>221</v>
      </c>
      <c r="I715" t="s">
        <v>112</v>
      </c>
      <c r="J715">
        <v>1</v>
      </c>
      <c r="K715">
        <v>22315.58</v>
      </c>
      <c r="L715">
        <v>25</v>
      </c>
      <c r="M715">
        <v>22315.58</v>
      </c>
      <c r="N715">
        <v>18015.169999999998</v>
      </c>
      <c r="O715">
        <v>4300.41</v>
      </c>
      <c r="P715" t="s">
        <v>41</v>
      </c>
      <c r="Q715">
        <v>2.6</v>
      </c>
      <c r="R715" t="s">
        <v>30</v>
      </c>
      <c r="S715" t="s">
        <v>31</v>
      </c>
      <c r="T715">
        <v>2024</v>
      </c>
    </row>
    <row r="716" spans="1:20" x14ac:dyDescent="0.3">
      <c r="A716" t="s">
        <v>1156</v>
      </c>
      <c r="B716" t="s">
        <v>1157</v>
      </c>
      <c r="C716" t="s">
        <v>116</v>
      </c>
      <c r="D716" t="s">
        <v>132</v>
      </c>
      <c r="E716" t="s">
        <v>158</v>
      </c>
      <c r="F716" t="s">
        <v>37</v>
      </c>
      <c r="G716" t="s">
        <v>38</v>
      </c>
      <c r="H716" t="s">
        <v>39</v>
      </c>
      <c r="I716" t="s">
        <v>40</v>
      </c>
      <c r="J716">
        <v>1</v>
      </c>
      <c r="K716">
        <v>47608.93</v>
      </c>
      <c r="L716">
        <v>25</v>
      </c>
      <c r="M716">
        <v>47608.93</v>
      </c>
      <c r="N716">
        <v>35964.61</v>
      </c>
      <c r="O716">
        <v>11644.32</v>
      </c>
      <c r="P716" t="s">
        <v>41</v>
      </c>
      <c r="Q716">
        <v>4.2</v>
      </c>
      <c r="R716" t="s">
        <v>30</v>
      </c>
      <c r="S716" t="s">
        <v>102</v>
      </c>
      <c r="T716">
        <v>2024</v>
      </c>
    </row>
    <row r="717" spans="1:20" x14ac:dyDescent="0.3">
      <c r="A717" t="s">
        <v>1158</v>
      </c>
      <c r="B717" t="s">
        <v>593</v>
      </c>
      <c r="C717" t="s">
        <v>80</v>
      </c>
      <c r="D717" t="s">
        <v>81</v>
      </c>
      <c r="E717" t="s">
        <v>82</v>
      </c>
      <c r="F717" t="s">
        <v>37</v>
      </c>
      <c r="G717" t="s">
        <v>38</v>
      </c>
      <c r="H717" t="s">
        <v>86</v>
      </c>
      <c r="I717" t="s">
        <v>40</v>
      </c>
      <c r="J717">
        <v>1</v>
      </c>
      <c r="K717">
        <v>19846.64</v>
      </c>
      <c r="L717">
        <v>15</v>
      </c>
      <c r="M717">
        <v>19846.64</v>
      </c>
      <c r="N717">
        <v>13512.11</v>
      </c>
      <c r="O717">
        <v>6334.53</v>
      </c>
      <c r="P717" t="s">
        <v>144</v>
      </c>
      <c r="Q717">
        <v>3.3</v>
      </c>
      <c r="R717" t="s">
        <v>30</v>
      </c>
      <c r="S717" t="s">
        <v>162</v>
      </c>
      <c r="T717">
        <v>2024</v>
      </c>
    </row>
    <row r="718" spans="1:20" x14ac:dyDescent="0.3">
      <c r="A718" t="s">
        <v>1159</v>
      </c>
      <c r="B718" t="s">
        <v>576</v>
      </c>
      <c r="C718" t="s">
        <v>22</v>
      </c>
      <c r="D718" t="s">
        <v>69</v>
      </c>
      <c r="E718" t="s">
        <v>70</v>
      </c>
      <c r="F718" t="s">
        <v>25</v>
      </c>
      <c r="G718" t="s">
        <v>111</v>
      </c>
      <c r="H718" t="s">
        <v>221</v>
      </c>
      <c r="I718" t="s">
        <v>112</v>
      </c>
      <c r="J718">
        <v>3</v>
      </c>
      <c r="K718">
        <v>5975.89</v>
      </c>
      <c r="L718">
        <v>25</v>
      </c>
      <c r="M718">
        <v>17927.669999999998</v>
      </c>
      <c r="N718">
        <v>14148.32</v>
      </c>
      <c r="O718">
        <v>3779.35</v>
      </c>
      <c r="P718" t="s">
        <v>41</v>
      </c>
      <c r="Q718">
        <v>4.8</v>
      </c>
      <c r="R718" t="s">
        <v>30</v>
      </c>
      <c r="S718" t="s">
        <v>31</v>
      </c>
      <c r="T718">
        <v>2024</v>
      </c>
    </row>
    <row r="719" spans="1:20" x14ac:dyDescent="0.3">
      <c r="A719" t="s">
        <v>1160</v>
      </c>
      <c r="B719" t="s">
        <v>936</v>
      </c>
      <c r="C719" t="s">
        <v>200</v>
      </c>
      <c r="D719" t="s">
        <v>98</v>
      </c>
      <c r="E719" t="s">
        <v>99</v>
      </c>
      <c r="F719" t="s">
        <v>25</v>
      </c>
      <c r="G719" t="s">
        <v>111</v>
      </c>
      <c r="H719" t="s">
        <v>221</v>
      </c>
      <c r="I719" t="s">
        <v>112</v>
      </c>
      <c r="J719">
        <v>4</v>
      </c>
      <c r="K719">
        <v>49409.89</v>
      </c>
      <c r="L719">
        <v>25</v>
      </c>
      <c r="M719">
        <v>197639.56</v>
      </c>
      <c r="N719">
        <v>158176.78</v>
      </c>
      <c r="O719">
        <v>39462.78</v>
      </c>
      <c r="P719" t="s">
        <v>144</v>
      </c>
      <c r="Q719">
        <v>4.0999999999999996</v>
      </c>
      <c r="R719" t="s">
        <v>30</v>
      </c>
      <c r="S719" t="s">
        <v>31</v>
      </c>
      <c r="T719">
        <v>2024</v>
      </c>
    </row>
    <row r="720" spans="1:20" x14ac:dyDescent="0.3">
      <c r="A720" t="s">
        <v>1161</v>
      </c>
      <c r="B720" t="s">
        <v>1162</v>
      </c>
      <c r="C720" t="s">
        <v>168</v>
      </c>
      <c r="D720" t="s">
        <v>23</v>
      </c>
      <c r="E720" t="s">
        <v>24</v>
      </c>
      <c r="F720" t="s">
        <v>37</v>
      </c>
      <c r="G720" t="s">
        <v>38</v>
      </c>
      <c r="H720" t="s">
        <v>327</v>
      </c>
      <c r="I720" t="s">
        <v>40</v>
      </c>
      <c r="J720">
        <v>5</v>
      </c>
      <c r="K720">
        <v>13885.05</v>
      </c>
      <c r="L720">
        <v>15</v>
      </c>
      <c r="M720">
        <v>69425.25</v>
      </c>
      <c r="N720">
        <v>50264.959999999999</v>
      </c>
      <c r="O720">
        <v>19160.29</v>
      </c>
      <c r="P720" t="s">
        <v>122</v>
      </c>
      <c r="Q720">
        <v>3.5</v>
      </c>
      <c r="R720" t="s">
        <v>30</v>
      </c>
      <c r="S720" t="s">
        <v>74</v>
      </c>
      <c r="T720">
        <v>2024</v>
      </c>
    </row>
    <row r="721" spans="1:20" x14ac:dyDescent="0.3">
      <c r="A721" t="s">
        <v>1163</v>
      </c>
      <c r="B721" t="s">
        <v>255</v>
      </c>
      <c r="C721" t="s">
        <v>80</v>
      </c>
      <c r="D721" t="s">
        <v>81</v>
      </c>
      <c r="E721" t="s">
        <v>128</v>
      </c>
      <c r="F721" t="s">
        <v>45</v>
      </c>
      <c r="G721" t="s">
        <v>46</v>
      </c>
      <c r="H721" t="s">
        <v>188</v>
      </c>
      <c r="I721" t="s">
        <v>48</v>
      </c>
      <c r="J721">
        <v>3</v>
      </c>
      <c r="K721">
        <v>4080.78</v>
      </c>
      <c r="L721">
        <v>10</v>
      </c>
      <c r="M721">
        <v>12242.34</v>
      </c>
      <c r="N721">
        <v>9321.5400000000009</v>
      </c>
      <c r="O721">
        <v>2920.8</v>
      </c>
      <c r="P721" t="s">
        <v>122</v>
      </c>
      <c r="Q721">
        <v>4.9000000000000004</v>
      </c>
      <c r="R721" t="s">
        <v>30</v>
      </c>
      <c r="S721" t="s">
        <v>107</v>
      </c>
      <c r="T721">
        <v>2024</v>
      </c>
    </row>
    <row r="722" spans="1:20" x14ac:dyDescent="0.3">
      <c r="A722" t="s">
        <v>1164</v>
      </c>
      <c r="B722" t="s">
        <v>1165</v>
      </c>
      <c r="C722" t="s">
        <v>97</v>
      </c>
      <c r="D722" t="s">
        <v>98</v>
      </c>
      <c r="E722" t="s">
        <v>99</v>
      </c>
      <c r="F722" t="s">
        <v>54</v>
      </c>
      <c r="G722" t="s">
        <v>201</v>
      </c>
      <c r="H722" t="s">
        <v>91</v>
      </c>
      <c r="I722" t="s">
        <v>296</v>
      </c>
      <c r="J722">
        <v>3</v>
      </c>
      <c r="K722">
        <v>27306.31</v>
      </c>
      <c r="L722">
        <v>20</v>
      </c>
      <c r="M722">
        <v>81918.929999999993</v>
      </c>
      <c r="N722">
        <v>59746.97</v>
      </c>
      <c r="O722">
        <v>22171.96</v>
      </c>
      <c r="P722" t="s">
        <v>122</v>
      </c>
      <c r="Q722">
        <v>3.8</v>
      </c>
      <c r="R722" t="s">
        <v>30</v>
      </c>
      <c r="S722" t="s">
        <v>94</v>
      </c>
      <c r="T722">
        <v>2024</v>
      </c>
    </row>
    <row r="723" spans="1:20" x14ac:dyDescent="0.3">
      <c r="A723" t="s">
        <v>1166</v>
      </c>
      <c r="B723" t="s">
        <v>457</v>
      </c>
      <c r="C723" t="s">
        <v>80</v>
      </c>
      <c r="D723" t="s">
        <v>81</v>
      </c>
      <c r="E723" t="s">
        <v>128</v>
      </c>
      <c r="F723" t="s">
        <v>62</v>
      </c>
      <c r="G723" t="s">
        <v>63</v>
      </c>
      <c r="H723" t="s">
        <v>64</v>
      </c>
      <c r="I723" t="s">
        <v>143</v>
      </c>
      <c r="J723">
        <v>5</v>
      </c>
      <c r="K723">
        <v>16580.240000000002</v>
      </c>
      <c r="L723">
        <v>25</v>
      </c>
      <c r="M723">
        <v>82901.2</v>
      </c>
      <c r="N723">
        <v>61836.47</v>
      </c>
      <c r="O723">
        <v>21064.73</v>
      </c>
      <c r="P723" t="s">
        <v>144</v>
      </c>
      <c r="Q723">
        <v>4.5999999999999996</v>
      </c>
      <c r="R723" t="s">
        <v>30</v>
      </c>
      <c r="S723" t="s">
        <v>42</v>
      </c>
      <c r="T723">
        <v>2024</v>
      </c>
    </row>
    <row r="724" spans="1:20" x14ac:dyDescent="0.3">
      <c r="A724" t="s">
        <v>1167</v>
      </c>
      <c r="B724" t="s">
        <v>1168</v>
      </c>
      <c r="C724" t="s">
        <v>61</v>
      </c>
      <c r="D724" t="s">
        <v>81</v>
      </c>
      <c r="E724" t="s">
        <v>149</v>
      </c>
      <c r="F724" t="s">
        <v>25</v>
      </c>
      <c r="G724" t="s">
        <v>111</v>
      </c>
      <c r="H724" t="s">
        <v>121</v>
      </c>
      <c r="I724" t="s">
        <v>112</v>
      </c>
      <c r="J724">
        <v>4</v>
      </c>
      <c r="K724">
        <v>12798.83</v>
      </c>
      <c r="L724">
        <v>10</v>
      </c>
      <c r="M724">
        <v>51195.32</v>
      </c>
      <c r="N724">
        <v>34126.129999999997</v>
      </c>
      <c r="O724">
        <v>17069.189999999999</v>
      </c>
      <c r="P724" t="s">
        <v>41</v>
      </c>
      <c r="Q724">
        <v>5</v>
      </c>
      <c r="R724" t="s">
        <v>30</v>
      </c>
      <c r="S724" t="s">
        <v>58</v>
      </c>
      <c r="T724">
        <v>2024</v>
      </c>
    </row>
    <row r="725" spans="1:20" x14ac:dyDescent="0.3">
      <c r="A725" t="s">
        <v>1169</v>
      </c>
      <c r="B725" t="s">
        <v>1170</v>
      </c>
      <c r="C725" t="s">
        <v>34</v>
      </c>
      <c r="D725" t="s">
        <v>69</v>
      </c>
      <c r="E725" t="s">
        <v>70</v>
      </c>
      <c r="F725" t="s">
        <v>25</v>
      </c>
      <c r="G725" t="s">
        <v>26</v>
      </c>
      <c r="H725" t="s">
        <v>27</v>
      </c>
      <c r="I725" t="s">
        <v>112</v>
      </c>
      <c r="J725">
        <v>1</v>
      </c>
      <c r="K725">
        <v>18574.12</v>
      </c>
      <c r="L725">
        <v>25</v>
      </c>
      <c r="M725">
        <v>18574.12</v>
      </c>
      <c r="N725">
        <v>13287.87</v>
      </c>
      <c r="O725">
        <v>5286.25</v>
      </c>
      <c r="P725" t="s">
        <v>73</v>
      </c>
      <c r="Q725">
        <v>3.3</v>
      </c>
      <c r="R725" t="s">
        <v>30</v>
      </c>
      <c r="S725" t="s">
        <v>74</v>
      </c>
      <c r="T725">
        <v>2024</v>
      </c>
    </row>
    <row r="726" spans="1:20" x14ac:dyDescent="0.3">
      <c r="A726" t="s">
        <v>1171</v>
      </c>
      <c r="B726" t="s">
        <v>1172</v>
      </c>
      <c r="C726" t="s">
        <v>90</v>
      </c>
      <c r="D726" t="s">
        <v>125</v>
      </c>
      <c r="E726" t="s">
        <v>126</v>
      </c>
      <c r="F726" t="s">
        <v>62</v>
      </c>
      <c r="G726" t="s">
        <v>63</v>
      </c>
      <c r="H726" t="s">
        <v>64</v>
      </c>
      <c r="I726" t="s">
        <v>65</v>
      </c>
      <c r="J726">
        <v>4</v>
      </c>
      <c r="K726">
        <v>30836.98</v>
      </c>
      <c r="L726">
        <v>5</v>
      </c>
      <c r="M726">
        <v>123347.92</v>
      </c>
      <c r="N726">
        <v>87418.61</v>
      </c>
      <c r="O726">
        <v>35929.31</v>
      </c>
      <c r="P726" t="s">
        <v>73</v>
      </c>
      <c r="Q726">
        <v>1.1000000000000001</v>
      </c>
      <c r="R726" t="s">
        <v>30</v>
      </c>
      <c r="S726" t="s">
        <v>102</v>
      </c>
      <c r="T726">
        <v>2024</v>
      </c>
    </row>
    <row r="727" spans="1:20" x14ac:dyDescent="0.3">
      <c r="A727" t="s">
        <v>1173</v>
      </c>
      <c r="B727" t="s">
        <v>164</v>
      </c>
      <c r="C727" t="s">
        <v>61</v>
      </c>
      <c r="D727" t="s">
        <v>98</v>
      </c>
      <c r="E727" t="s">
        <v>99</v>
      </c>
      <c r="F727" t="s">
        <v>37</v>
      </c>
      <c r="G727" t="s">
        <v>38</v>
      </c>
      <c r="H727" t="s">
        <v>77</v>
      </c>
      <c r="I727" t="s">
        <v>40</v>
      </c>
      <c r="J727">
        <v>4</v>
      </c>
      <c r="K727">
        <v>48620.13</v>
      </c>
      <c r="L727">
        <v>25</v>
      </c>
      <c r="M727">
        <v>194480.52</v>
      </c>
      <c r="N727">
        <v>150321.99</v>
      </c>
      <c r="O727">
        <v>44158.53</v>
      </c>
      <c r="P727" t="s">
        <v>29</v>
      </c>
      <c r="Q727">
        <v>1.9</v>
      </c>
      <c r="R727" t="s">
        <v>30</v>
      </c>
      <c r="S727" t="s">
        <v>78</v>
      </c>
      <c r="T727">
        <v>2024</v>
      </c>
    </row>
    <row r="728" spans="1:20" x14ac:dyDescent="0.3">
      <c r="A728" t="s">
        <v>1174</v>
      </c>
      <c r="B728" t="s">
        <v>543</v>
      </c>
      <c r="C728" t="s">
        <v>168</v>
      </c>
      <c r="D728" t="s">
        <v>35</v>
      </c>
      <c r="E728" t="s">
        <v>36</v>
      </c>
      <c r="F728" t="s">
        <v>25</v>
      </c>
      <c r="G728" t="s">
        <v>111</v>
      </c>
      <c r="H728" t="s">
        <v>129</v>
      </c>
      <c r="I728" t="s">
        <v>112</v>
      </c>
      <c r="J728">
        <v>2</v>
      </c>
      <c r="K728">
        <v>16390.439999999999</v>
      </c>
      <c r="L728">
        <v>20</v>
      </c>
      <c r="M728">
        <v>32780.879999999997</v>
      </c>
      <c r="N728">
        <v>22624.13</v>
      </c>
      <c r="O728">
        <v>10156.75</v>
      </c>
      <c r="P728" t="s">
        <v>122</v>
      </c>
      <c r="Q728">
        <v>4.2</v>
      </c>
      <c r="R728" t="s">
        <v>30</v>
      </c>
      <c r="S728" t="s">
        <v>162</v>
      </c>
      <c r="T728">
        <v>2024</v>
      </c>
    </row>
    <row r="729" spans="1:20" x14ac:dyDescent="0.3">
      <c r="A729" t="s">
        <v>1175</v>
      </c>
      <c r="B729" t="s">
        <v>280</v>
      </c>
      <c r="C729" t="s">
        <v>168</v>
      </c>
      <c r="D729" t="s">
        <v>23</v>
      </c>
      <c r="E729" t="s">
        <v>24</v>
      </c>
      <c r="F729" t="s">
        <v>45</v>
      </c>
      <c r="G729" t="s">
        <v>105</v>
      </c>
      <c r="H729" t="s">
        <v>47</v>
      </c>
      <c r="I729" t="s">
        <v>169</v>
      </c>
      <c r="J729">
        <v>3</v>
      </c>
      <c r="K729">
        <v>18862.009999999998</v>
      </c>
      <c r="L729">
        <v>10</v>
      </c>
      <c r="M729">
        <v>56586.03</v>
      </c>
      <c r="N729">
        <v>44029.03</v>
      </c>
      <c r="O729">
        <v>12557</v>
      </c>
      <c r="P729" t="s">
        <v>73</v>
      </c>
      <c r="Q729">
        <v>3</v>
      </c>
      <c r="R729" t="s">
        <v>30</v>
      </c>
      <c r="S729" t="s">
        <v>42</v>
      </c>
      <c r="T729">
        <v>2024</v>
      </c>
    </row>
    <row r="730" spans="1:20" x14ac:dyDescent="0.3">
      <c r="A730" t="s">
        <v>1176</v>
      </c>
      <c r="B730" t="s">
        <v>333</v>
      </c>
      <c r="C730" t="s">
        <v>90</v>
      </c>
      <c r="D730" t="s">
        <v>132</v>
      </c>
      <c r="E730" t="s">
        <v>158</v>
      </c>
      <c r="F730" t="s">
        <v>54</v>
      </c>
      <c r="G730" t="s">
        <v>201</v>
      </c>
      <c r="H730" t="s">
        <v>56</v>
      </c>
      <c r="I730" t="s">
        <v>180</v>
      </c>
      <c r="J730">
        <v>1</v>
      </c>
      <c r="K730">
        <v>11448.28</v>
      </c>
      <c r="L730">
        <v>5</v>
      </c>
      <c r="M730">
        <v>11448.28</v>
      </c>
      <c r="N730">
        <v>9655.61</v>
      </c>
      <c r="O730">
        <v>1792.67</v>
      </c>
      <c r="P730" t="s">
        <v>144</v>
      </c>
      <c r="Q730">
        <v>3.6</v>
      </c>
      <c r="R730" t="s">
        <v>159</v>
      </c>
      <c r="S730" t="s">
        <v>162</v>
      </c>
      <c r="T730">
        <v>2024</v>
      </c>
    </row>
    <row r="731" spans="1:20" x14ac:dyDescent="0.3">
      <c r="A731" t="s">
        <v>1177</v>
      </c>
      <c r="B731" t="s">
        <v>1178</v>
      </c>
      <c r="C731" t="s">
        <v>61</v>
      </c>
      <c r="D731" t="s">
        <v>98</v>
      </c>
      <c r="E731" t="s">
        <v>99</v>
      </c>
      <c r="F731" t="s">
        <v>45</v>
      </c>
      <c r="G731" t="s">
        <v>46</v>
      </c>
      <c r="H731" t="s">
        <v>176</v>
      </c>
      <c r="I731" t="s">
        <v>101</v>
      </c>
      <c r="J731">
        <v>2</v>
      </c>
      <c r="K731">
        <v>24384.05</v>
      </c>
      <c r="L731">
        <v>20</v>
      </c>
      <c r="M731">
        <v>48768.1</v>
      </c>
      <c r="N731">
        <v>38714.94</v>
      </c>
      <c r="O731">
        <v>10053.16</v>
      </c>
      <c r="P731" t="s">
        <v>29</v>
      </c>
      <c r="Q731">
        <v>3</v>
      </c>
      <c r="R731" t="s">
        <v>30</v>
      </c>
      <c r="S731" t="s">
        <v>78</v>
      </c>
      <c r="T731">
        <v>2024</v>
      </c>
    </row>
    <row r="732" spans="1:20" x14ac:dyDescent="0.3">
      <c r="A732" t="s">
        <v>1179</v>
      </c>
      <c r="B732" t="s">
        <v>716</v>
      </c>
      <c r="C732" t="s">
        <v>116</v>
      </c>
      <c r="D732" t="s">
        <v>132</v>
      </c>
      <c r="E732" t="s">
        <v>133</v>
      </c>
      <c r="F732" t="s">
        <v>45</v>
      </c>
      <c r="G732" t="s">
        <v>105</v>
      </c>
      <c r="H732" t="s">
        <v>100</v>
      </c>
      <c r="I732" t="s">
        <v>48</v>
      </c>
      <c r="J732">
        <v>1</v>
      </c>
      <c r="K732">
        <v>18179.43</v>
      </c>
      <c r="L732">
        <v>20</v>
      </c>
      <c r="M732">
        <v>18179.43</v>
      </c>
      <c r="N732">
        <v>14286.46</v>
      </c>
      <c r="O732">
        <v>3892.97</v>
      </c>
      <c r="P732" t="s">
        <v>73</v>
      </c>
      <c r="Q732">
        <v>4.3</v>
      </c>
      <c r="R732" t="s">
        <v>30</v>
      </c>
      <c r="S732" t="s">
        <v>94</v>
      </c>
      <c r="T732">
        <v>2024</v>
      </c>
    </row>
    <row r="733" spans="1:20" x14ac:dyDescent="0.3">
      <c r="A733" t="s">
        <v>1180</v>
      </c>
      <c r="B733" t="s">
        <v>389</v>
      </c>
      <c r="C733" t="s">
        <v>136</v>
      </c>
      <c r="D733" t="s">
        <v>98</v>
      </c>
      <c r="E733" t="s">
        <v>99</v>
      </c>
      <c r="F733" t="s">
        <v>62</v>
      </c>
      <c r="G733" t="s">
        <v>71</v>
      </c>
      <c r="H733" t="s">
        <v>64</v>
      </c>
      <c r="I733" t="s">
        <v>143</v>
      </c>
      <c r="J733">
        <v>1</v>
      </c>
      <c r="K733">
        <v>22430.51</v>
      </c>
      <c r="L733">
        <v>30</v>
      </c>
      <c r="M733">
        <v>22430.51</v>
      </c>
      <c r="N733">
        <v>15069.52</v>
      </c>
      <c r="O733">
        <v>7360.99</v>
      </c>
      <c r="P733" t="s">
        <v>122</v>
      </c>
      <c r="Q733">
        <v>4.5</v>
      </c>
      <c r="R733" t="s">
        <v>30</v>
      </c>
      <c r="S733" t="s">
        <v>31</v>
      </c>
      <c r="T733">
        <v>2024</v>
      </c>
    </row>
    <row r="734" spans="1:20" x14ac:dyDescent="0.3">
      <c r="A734" t="s">
        <v>1181</v>
      </c>
      <c r="B734" t="s">
        <v>349</v>
      </c>
      <c r="C734" t="s">
        <v>97</v>
      </c>
      <c r="D734" t="s">
        <v>98</v>
      </c>
      <c r="E734" t="s">
        <v>99</v>
      </c>
      <c r="F734" t="s">
        <v>62</v>
      </c>
      <c r="G734" t="s">
        <v>71</v>
      </c>
      <c r="H734" t="s">
        <v>271</v>
      </c>
      <c r="I734" t="s">
        <v>143</v>
      </c>
      <c r="J734">
        <v>2</v>
      </c>
      <c r="K734">
        <v>10241.780000000001</v>
      </c>
      <c r="L734">
        <v>15</v>
      </c>
      <c r="M734">
        <v>20483.560000000001</v>
      </c>
      <c r="N734">
        <v>15495.55</v>
      </c>
      <c r="O734">
        <v>4988.01</v>
      </c>
      <c r="P734" t="s">
        <v>73</v>
      </c>
      <c r="Q734">
        <v>3.7</v>
      </c>
      <c r="R734" t="s">
        <v>30</v>
      </c>
      <c r="S734" t="s">
        <v>87</v>
      </c>
      <c r="T734">
        <v>2025</v>
      </c>
    </row>
    <row r="735" spans="1:20" x14ac:dyDescent="0.3">
      <c r="A735" t="s">
        <v>1182</v>
      </c>
      <c r="B735" t="s">
        <v>625</v>
      </c>
      <c r="C735" t="s">
        <v>34</v>
      </c>
      <c r="D735" t="s">
        <v>52</v>
      </c>
      <c r="E735" t="s">
        <v>53</v>
      </c>
      <c r="F735" t="s">
        <v>37</v>
      </c>
      <c r="G735" t="s">
        <v>38</v>
      </c>
      <c r="H735" t="s">
        <v>327</v>
      </c>
      <c r="I735" t="s">
        <v>40</v>
      </c>
      <c r="J735">
        <v>3</v>
      </c>
      <c r="K735">
        <v>17800.740000000002</v>
      </c>
      <c r="L735">
        <v>5</v>
      </c>
      <c r="M735">
        <v>53402.22</v>
      </c>
      <c r="N735">
        <v>36346.080000000002</v>
      </c>
      <c r="O735">
        <v>17056.14</v>
      </c>
      <c r="P735" t="s">
        <v>73</v>
      </c>
      <c r="Q735">
        <v>2.9</v>
      </c>
      <c r="R735" t="s">
        <v>30</v>
      </c>
      <c r="S735" t="s">
        <v>58</v>
      </c>
      <c r="T735">
        <v>2024</v>
      </c>
    </row>
    <row r="736" spans="1:20" x14ac:dyDescent="0.3">
      <c r="A736" t="s">
        <v>1183</v>
      </c>
      <c r="B736" t="s">
        <v>672</v>
      </c>
      <c r="C736" t="s">
        <v>34</v>
      </c>
      <c r="D736" t="s">
        <v>35</v>
      </c>
      <c r="E736" t="s">
        <v>36</v>
      </c>
      <c r="F736" t="s">
        <v>25</v>
      </c>
      <c r="G736" t="s">
        <v>111</v>
      </c>
      <c r="H736" t="s">
        <v>121</v>
      </c>
      <c r="I736" t="s">
        <v>112</v>
      </c>
      <c r="J736">
        <v>5</v>
      </c>
      <c r="K736">
        <v>16174.96</v>
      </c>
      <c r="L736">
        <v>5</v>
      </c>
      <c r="M736">
        <v>80874.8</v>
      </c>
      <c r="N736">
        <v>54560.76</v>
      </c>
      <c r="O736">
        <v>26314.04</v>
      </c>
      <c r="P736" t="s">
        <v>122</v>
      </c>
      <c r="Q736">
        <v>4.9000000000000004</v>
      </c>
      <c r="R736" t="s">
        <v>30</v>
      </c>
      <c r="S736" t="s">
        <v>102</v>
      </c>
      <c r="T736">
        <v>2024</v>
      </c>
    </row>
    <row r="737" spans="1:20" x14ac:dyDescent="0.3">
      <c r="A737" t="s">
        <v>1184</v>
      </c>
      <c r="B737" t="s">
        <v>506</v>
      </c>
      <c r="C737" t="s">
        <v>97</v>
      </c>
      <c r="D737" t="s">
        <v>81</v>
      </c>
      <c r="E737" t="s">
        <v>149</v>
      </c>
      <c r="F737" t="s">
        <v>62</v>
      </c>
      <c r="G737" t="s">
        <v>63</v>
      </c>
      <c r="H737" t="s">
        <v>64</v>
      </c>
      <c r="I737" t="s">
        <v>143</v>
      </c>
      <c r="J737">
        <v>5</v>
      </c>
      <c r="K737">
        <v>2370.61</v>
      </c>
      <c r="L737">
        <v>15</v>
      </c>
      <c r="M737">
        <v>11853.05</v>
      </c>
      <c r="N737">
        <v>8003.15</v>
      </c>
      <c r="O737">
        <v>3849.9</v>
      </c>
      <c r="P737" t="s">
        <v>29</v>
      </c>
      <c r="Q737">
        <v>3.1</v>
      </c>
      <c r="R737" t="s">
        <v>30</v>
      </c>
      <c r="S737" t="s">
        <v>119</v>
      </c>
      <c r="T737">
        <v>2024</v>
      </c>
    </row>
    <row r="738" spans="1:20" x14ac:dyDescent="0.3">
      <c r="A738" t="s">
        <v>1185</v>
      </c>
      <c r="B738" t="s">
        <v>1186</v>
      </c>
      <c r="C738" t="s">
        <v>80</v>
      </c>
      <c r="D738" t="s">
        <v>23</v>
      </c>
      <c r="E738" t="s">
        <v>24</v>
      </c>
      <c r="F738" t="s">
        <v>45</v>
      </c>
      <c r="G738" t="s">
        <v>46</v>
      </c>
      <c r="H738" t="s">
        <v>176</v>
      </c>
      <c r="I738" t="s">
        <v>169</v>
      </c>
      <c r="J738">
        <v>3</v>
      </c>
      <c r="K738">
        <v>139.85</v>
      </c>
      <c r="L738">
        <v>15</v>
      </c>
      <c r="M738">
        <v>419.55</v>
      </c>
      <c r="N738">
        <v>288.86</v>
      </c>
      <c r="O738">
        <v>130.69</v>
      </c>
      <c r="P738" t="s">
        <v>41</v>
      </c>
      <c r="Q738">
        <v>2</v>
      </c>
      <c r="R738" t="s">
        <v>30</v>
      </c>
      <c r="S738" t="s">
        <v>31</v>
      </c>
      <c r="T738">
        <v>2024</v>
      </c>
    </row>
    <row r="739" spans="1:20" x14ac:dyDescent="0.3">
      <c r="A739" t="s">
        <v>1187</v>
      </c>
      <c r="B739" t="s">
        <v>1188</v>
      </c>
      <c r="C739" t="s">
        <v>90</v>
      </c>
      <c r="D739" t="s">
        <v>98</v>
      </c>
      <c r="E739" t="s">
        <v>99</v>
      </c>
      <c r="F739" t="s">
        <v>54</v>
      </c>
      <c r="G739" t="s">
        <v>55</v>
      </c>
      <c r="H739" t="s">
        <v>56</v>
      </c>
      <c r="I739" t="s">
        <v>296</v>
      </c>
      <c r="J739">
        <v>1</v>
      </c>
      <c r="K739">
        <v>2519.1799999999998</v>
      </c>
      <c r="L739">
        <v>20</v>
      </c>
      <c r="M739">
        <v>2519.1799999999998</v>
      </c>
      <c r="N739">
        <v>1831.66</v>
      </c>
      <c r="O739">
        <v>687.52</v>
      </c>
      <c r="P739" t="s">
        <v>144</v>
      </c>
      <c r="Q739">
        <v>2.4</v>
      </c>
      <c r="R739" t="s">
        <v>30</v>
      </c>
      <c r="S739" t="s">
        <v>42</v>
      </c>
      <c r="T739">
        <v>2024</v>
      </c>
    </row>
    <row r="740" spans="1:20" x14ac:dyDescent="0.3">
      <c r="A740" t="s">
        <v>1189</v>
      </c>
      <c r="B740" t="s">
        <v>1190</v>
      </c>
      <c r="C740" t="s">
        <v>200</v>
      </c>
      <c r="D740" t="s">
        <v>52</v>
      </c>
      <c r="E740" t="s">
        <v>110</v>
      </c>
      <c r="F740" t="s">
        <v>45</v>
      </c>
      <c r="G740" t="s">
        <v>46</v>
      </c>
      <c r="H740" t="s">
        <v>176</v>
      </c>
      <c r="I740" t="s">
        <v>169</v>
      </c>
      <c r="J740">
        <v>4</v>
      </c>
      <c r="K740">
        <v>32626.32</v>
      </c>
      <c r="L740">
        <v>5</v>
      </c>
      <c r="M740">
        <v>130505.28</v>
      </c>
      <c r="N740">
        <v>90134.31</v>
      </c>
      <c r="O740">
        <v>40370.97</v>
      </c>
      <c r="P740" t="s">
        <v>41</v>
      </c>
      <c r="Q740">
        <v>2.9</v>
      </c>
      <c r="R740" t="s">
        <v>30</v>
      </c>
      <c r="S740" t="s">
        <v>74</v>
      </c>
      <c r="T740">
        <v>2024</v>
      </c>
    </row>
    <row r="741" spans="1:20" x14ac:dyDescent="0.3">
      <c r="A741" t="s">
        <v>1191</v>
      </c>
      <c r="B741" t="s">
        <v>473</v>
      </c>
      <c r="C741" t="s">
        <v>116</v>
      </c>
      <c r="D741" t="s">
        <v>132</v>
      </c>
      <c r="E741" t="s">
        <v>133</v>
      </c>
      <c r="F741" t="s">
        <v>54</v>
      </c>
      <c r="G741" t="s">
        <v>228</v>
      </c>
      <c r="H741" t="s">
        <v>117</v>
      </c>
      <c r="I741" t="s">
        <v>185</v>
      </c>
      <c r="J741">
        <v>3</v>
      </c>
      <c r="K741">
        <v>14636.55</v>
      </c>
      <c r="L741">
        <v>5</v>
      </c>
      <c r="M741">
        <v>43909.65</v>
      </c>
      <c r="N741">
        <v>30455.31</v>
      </c>
      <c r="O741">
        <v>13454.34</v>
      </c>
      <c r="P741" t="s">
        <v>122</v>
      </c>
      <c r="Q741">
        <v>3.6</v>
      </c>
      <c r="R741" t="s">
        <v>30</v>
      </c>
      <c r="S741" t="s">
        <v>49</v>
      </c>
      <c r="T741">
        <v>2024</v>
      </c>
    </row>
    <row r="742" spans="1:20" x14ac:dyDescent="0.3">
      <c r="A742" t="s">
        <v>1192</v>
      </c>
      <c r="B742" t="s">
        <v>969</v>
      </c>
      <c r="C742" t="s">
        <v>116</v>
      </c>
      <c r="D742" t="s">
        <v>81</v>
      </c>
      <c r="E742" t="s">
        <v>128</v>
      </c>
      <c r="F742" t="s">
        <v>45</v>
      </c>
      <c r="G742" t="s">
        <v>46</v>
      </c>
      <c r="H742" t="s">
        <v>47</v>
      </c>
      <c r="I742" t="s">
        <v>48</v>
      </c>
      <c r="J742">
        <v>5</v>
      </c>
      <c r="K742">
        <v>19549.439999999999</v>
      </c>
      <c r="L742">
        <v>5</v>
      </c>
      <c r="M742">
        <v>97747.199999999997</v>
      </c>
      <c r="N742">
        <v>71355.97</v>
      </c>
      <c r="O742">
        <v>26391.23</v>
      </c>
      <c r="P742" t="s">
        <v>73</v>
      </c>
      <c r="Q742">
        <v>1.7</v>
      </c>
      <c r="R742" t="s">
        <v>30</v>
      </c>
      <c r="S742" t="s">
        <v>162</v>
      </c>
      <c r="T742">
        <v>2024</v>
      </c>
    </row>
    <row r="743" spans="1:20" x14ac:dyDescent="0.3">
      <c r="A743" t="s">
        <v>1193</v>
      </c>
      <c r="B743" t="s">
        <v>214</v>
      </c>
      <c r="C743" t="s">
        <v>90</v>
      </c>
      <c r="D743" t="s">
        <v>98</v>
      </c>
      <c r="E743" t="s">
        <v>99</v>
      </c>
      <c r="F743" t="s">
        <v>54</v>
      </c>
      <c r="G743" t="s">
        <v>228</v>
      </c>
      <c r="H743" t="s">
        <v>91</v>
      </c>
      <c r="I743" t="s">
        <v>57</v>
      </c>
      <c r="J743">
        <v>2</v>
      </c>
      <c r="K743">
        <v>37195.730000000003</v>
      </c>
      <c r="L743">
        <v>25</v>
      </c>
      <c r="M743">
        <v>74391.460000000006</v>
      </c>
      <c r="N743">
        <v>61868.92</v>
      </c>
      <c r="O743">
        <v>12522.54</v>
      </c>
      <c r="P743" t="s">
        <v>41</v>
      </c>
      <c r="Q743">
        <v>2.7</v>
      </c>
      <c r="R743" t="s">
        <v>159</v>
      </c>
      <c r="S743" t="s">
        <v>58</v>
      </c>
      <c r="T743">
        <v>2024</v>
      </c>
    </row>
    <row r="744" spans="1:20" x14ac:dyDescent="0.3">
      <c r="A744" t="s">
        <v>1194</v>
      </c>
      <c r="B744" t="s">
        <v>1195</v>
      </c>
      <c r="C744" t="s">
        <v>200</v>
      </c>
      <c r="D744" t="s">
        <v>69</v>
      </c>
      <c r="E744" t="s">
        <v>155</v>
      </c>
      <c r="F744" t="s">
        <v>62</v>
      </c>
      <c r="G744" t="s">
        <v>63</v>
      </c>
      <c r="H744" t="s">
        <v>271</v>
      </c>
      <c r="I744" t="s">
        <v>165</v>
      </c>
      <c r="J744">
        <v>3</v>
      </c>
      <c r="K744">
        <v>34821.93</v>
      </c>
      <c r="L744">
        <v>10</v>
      </c>
      <c r="M744">
        <v>104465.79</v>
      </c>
      <c r="N744">
        <v>69083.14</v>
      </c>
      <c r="O744">
        <v>35382.65</v>
      </c>
      <c r="P744" t="s">
        <v>122</v>
      </c>
      <c r="Q744">
        <v>4.4000000000000004</v>
      </c>
      <c r="R744" t="s">
        <v>30</v>
      </c>
      <c r="S744" t="s">
        <v>74</v>
      </c>
      <c r="T744">
        <v>2024</v>
      </c>
    </row>
    <row r="745" spans="1:20" x14ac:dyDescent="0.3">
      <c r="A745" t="s">
        <v>1196</v>
      </c>
      <c r="B745" t="s">
        <v>85</v>
      </c>
      <c r="C745" t="s">
        <v>116</v>
      </c>
      <c r="D745" t="s">
        <v>81</v>
      </c>
      <c r="E745" t="s">
        <v>149</v>
      </c>
      <c r="F745" t="s">
        <v>45</v>
      </c>
      <c r="G745" t="s">
        <v>105</v>
      </c>
      <c r="H745" t="s">
        <v>106</v>
      </c>
      <c r="I745" t="s">
        <v>48</v>
      </c>
      <c r="J745">
        <v>4</v>
      </c>
      <c r="K745">
        <v>28630.92</v>
      </c>
      <c r="L745">
        <v>20</v>
      </c>
      <c r="M745">
        <v>114523.68</v>
      </c>
      <c r="N745">
        <v>96602.63</v>
      </c>
      <c r="O745">
        <v>17921.05</v>
      </c>
      <c r="P745" t="s">
        <v>122</v>
      </c>
      <c r="Q745">
        <v>4.2</v>
      </c>
      <c r="R745" t="s">
        <v>30</v>
      </c>
      <c r="S745" t="s">
        <v>87</v>
      </c>
      <c r="T745">
        <v>2025</v>
      </c>
    </row>
    <row r="746" spans="1:20" x14ac:dyDescent="0.3">
      <c r="A746" t="s">
        <v>1197</v>
      </c>
      <c r="B746" t="s">
        <v>655</v>
      </c>
      <c r="C746" t="s">
        <v>136</v>
      </c>
      <c r="D746" t="s">
        <v>81</v>
      </c>
      <c r="E746" t="s">
        <v>82</v>
      </c>
      <c r="F746" t="s">
        <v>37</v>
      </c>
      <c r="G746" t="s">
        <v>38</v>
      </c>
      <c r="H746" t="s">
        <v>140</v>
      </c>
      <c r="I746" t="s">
        <v>40</v>
      </c>
      <c r="J746">
        <v>5</v>
      </c>
      <c r="K746">
        <v>25059.360000000001</v>
      </c>
      <c r="L746">
        <v>30</v>
      </c>
      <c r="M746">
        <v>125296.8</v>
      </c>
      <c r="N746">
        <v>99354.08</v>
      </c>
      <c r="O746">
        <v>25942.720000000001</v>
      </c>
      <c r="P746" t="s">
        <v>41</v>
      </c>
      <c r="Q746">
        <v>2.4</v>
      </c>
      <c r="R746" t="s">
        <v>30</v>
      </c>
      <c r="S746" t="s">
        <v>94</v>
      </c>
      <c r="T746">
        <v>2024</v>
      </c>
    </row>
    <row r="747" spans="1:20" x14ac:dyDescent="0.3">
      <c r="A747" t="s">
        <v>1198</v>
      </c>
      <c r="B747" t="s">
        <v>1199</v>
      </c>
      <c r="C747" t="s">
        <v>80</v>
      </c>
      <c r="D747" t="s">
        <v>35</v>
      </c>
      <c r="E747" t="s">
        <v>36</v>
      </c>
      <c r="F747" t="s">
        <v>62</v>
      </c>
      <c r="G747" t="s">
        <v>71</v>
      </c>
      <c r="H747" t="s">
        <v>271</v>
      </c>
      <c r="I747" t="s">
        <v>65</v>
      </c>
      <c r="J747">
        <v>1</v>
      </c>
      <c r="K747">
        <v>47795.34</v>
      </c>
      <c r="L747">
        <v>5</v>
      </c>
      <c r="M747">
        <v>47795.34</v>
      </c>
      <c r="N747">
        <v>32981.35</v>
      </c>
      <c r="O747">
        <v>14813.99</v>
      </c>
      <c r="P747" t="s">
        <v>113</v>
      </c>
      <c r="Q747">
        <v>2.2999999999999998</v>
      </c>
      <c r="R747" t="s">
        <v>30</v>
      </c>
      <c r="S747" t="s">
        <v>42</v>
      </c>
      <c r="T747">
        <v>2024</v>
      </c>
    </row>
    <row r="748" spans="1:20" x14ac:dyDescent="0.3">
      <c r="A748" t="s">
        <v>1200</v>
      </c>
      <c r="B748" t="s">
        <v>687</v>
      </c>
      <c r="C748" t="s">
        <v>168</v>
      </c>
      <c r="D748" t="s">
        <v>98</v>
      </c>
      <c r="E748" t="s">
        <v>99</v>
      </c>
      <c r="F748" t="s">
        <v>37</v>
      </c>
      <c r="G748" t="s">
        <v>38</v>
      </c>
      <c r="H748" t="s">
        <v>77</v>
      </c>
      <c r="I748" t="s">
        <v>40</v>
      </c>
      <c r="J748">
        <v>4</v>
      </c>
      <c r="K748">
        <v>36918.199999999997</v>
      </c>
      <c r="L748">
        <v>15</v>
      </c>
      <c r="M748">
        <v>147672.79999999999</v>
      </c>
      <c r="N748">
        <v>102765.77</v>
      </c>
      <c r="O748">
        <v>44907.03</v>
      </c>
      <c r="P748" t="s">
        <v>73</v>
      </c>
      <c r="Q748">
        <v>3.2</v>
      </c>
      <c r="R748" t="s">
        <v>30</v>
      </c>
      <c r="S748" t="s">
        <v>102</v>
      </c>
      <c r="T748">
        <v>2024</v>
      </c>
    </row>
    <row r="749" spans="1:20" x14ac:dyDescent="0.3">
      <c r="A749" t="s">
        <v>1201</v>
      </c>
      <c r="B749" t="s">
        <v>909</v>
      </c>
      <c r="C749" t="s">
        <v>136</v>
      </c>
      <c r="D749" t="s">
        <v>69</v>
      </c>
      <c r="E749" t="s">
        <v>155</v>
      </c>
      <c r="F749" t="s">
        <v>45</v>
      </c>
      <c r="G749" t="s">
        <v>105</v>
      </c>
      <c r="H749" t="s">
        <v>106</v>
      </c>
      <c r="I749" t="s">
        <v>48</v>
      </c>
      <c r="J749">
        <v>3</v>
      </c>
      <c r="K749">
        <v>3394.38</v>
      </c>
      <c r="L749">
        <v>30</v>
      </c>
      <c r="M749">
        <v>10183.14</v>
      </c>
      <c r="N749">
        <v>6999.88</v>
      </c>
      <c r="O749">
        <v>3183.26</v>
      </c>
      <c r="P749" t="s">
        <v>41</v>
      </c>
      <c r="Q749">
        <v>3.5</v>
      </c>
      <c r="R749" t="s">
        <v>30</v>
      </c>
      <c r="S749" t="s">
        <v>119</v>
      </c>
      <c r="T749">
        <v>2024</v>
      </c>
    </row>
    <row r="750" spans="1:20" x14ac:dyDescent="0.3">
      <c r="A750" t="s">
        <v>1202</v>
      </c>
      <c r="B750" t="s">
        <v>969</v>
      </c>
      <c r="C750" t="s">
        <v>136</v>
      </c>
      <c r="D750" t="s">
        <v>132</v>
      </c>
      <c r="E750" t="s">
        <v>133</v>
      </c>
      <c r="F750" t="s">
        <v>54</v>
      </c>
      <c r="G750" t="s">
        <v>228</v>
      </c>
      <c r="H750" t="s">
        <v>117</v>
      </c>
      <c r="I750" t="s">
        <v>57</v>
      </c>
      <c r="J750">
        <v>5</v>
      </c>
      <c r="K750">
        <v>11142.38</v>
      </c>
      <c r="L750">
        <v>10</v>
      </c>
      <c r="M750">
        <v>55711.9</v>
      </c>
      <c r="N750">
        <v>38385.24</v>
      </c>
      <c r="O750">
        <v>17326.66</v>
      </c>
      <c r="P750" t="s">
        <v>122</v>
      </c>
      <c r="Q750">
        <v>3.3</v>
      </c>
      <c r="R750" t="s">
        <v>30</v>
      </c>
      <c r="S750" t="s">
        <v>162</v>
      </c>
      <c r="T750">
        <v>2024</v>
      </c>
    </row>
    <row r="751" spans="1:20" x14ac:dyDescent="0.3">
      <c r="A751" t="s">
        <v>1203</v>
      </c>
      <c r="B751" t="s">
        <v>809</v>
      </c>
      <c r="C751" t="s">
        <v>97</v>
      </c>
      <c r="D751" t="s">
        <v>23</v>
      </c>
      <c r="E751" t="s">
        <v>24</v>
      </c>
      <c r="F751" t="s">
        <v>62</v>
      </c>
      <c r="G751" t="s">
        <v>71</v>
      </c>
      <c r="H751" t="s">
        <v>64</v>
      </c>
      <c r="I751" t="s">
        <v>165</v>
      </c>
      <c r="J751">
        <v>5</v>
      </c>
      <c r="K751">
        <v>18602.849999999999</v>
      </c>
      <c r="L751">
        <v>20</v>
      </c>
      <c r="M751">
        <v>93014.25</v>
      </c>
      <c r="N751">
        <v>68121.14</v>
      </c>
      <c r="O751">
        <v>24893.11</v>
      </c>
      <c r="P751" t="s">
        <v>41</v>
      </c>
      <c r="Q751">
        <v>4.3</v>
      </c>
      <c r="R751" t="s">
        <v>30</v>
      </c>
      <c r="S751" t="s">
        <v>74</v>
      </c>
      <c r="T751">
        <v>2024</v>
      </c>
    </row>
    <row r="752" spans="1:20" x14ac:dyDescent="0.3">
      <c r="A752" t="s">
        <v>1204</v>
      </c>
      <c r="B752" t="s">
        <v>343</v>
      </c>
      <c r="C752" t="s">
        <v>22</v>
      </c>
      <c r="D752" t="s">
        <v>125</v>
      </c>
      <c r="E752" t="s">
        <v>126</v>
      </c>
      <c r="F752" t="s">
        <v>37</v>
      </c>
      <c r="G752" t="s">
        <v>38</v>
      </c>
      <c r="H752" t="s">
        <v>86</v>
      </c>
      <c r="I752" t="s">
        <v>40</v>
      </c>
      <c r="J752">
        <v>5</v>
      </c>
      <c r="K752">
        <v>13557.11</v>
      </c>
      <c r="L752">
        <v>10</v>
      </c>
      <c r="M752">
        <v>67785.55</v>
      </c>
      <c r="N752">
        <v>50248.57</v>
      </c>
      <c r="O752">
        <v>17536.98</v>
      </c>
      <c r="P752" t="s">
        <v>144</v>
      </c>
      <c r="Q752">
        <v>1.3</v>
      </c>
      <c r="R752" t="s">
        <v>159</v>
      </c>
      <c r="S752" t="s">
        <v>49</v>
      </c>
      <c r="T752">
        <v>2024</v>
      </c>
    </row>
    <row r="753" spans="1:20" x14ac:dyDescent="0.3">
      <c r="A753" t="s">
        <v>1205</v>
      </c>
      <c r="B753" t="s">
        <v>216</v>
      </c>
      <c r="C753" t="s">
        <v>97</v>
      </c>
      <c r="D753" t="s">
        <v>69</v>
      </c>
      <c r="E753" t="s">
        <v>155</v>
      </c>
      <c r="F753" t="s">
        <v>62</v>
      </c>
      <c r="G753" t="s">
        <v>63</v>
      </c>
      <c r="H753" t="s">
        <v>72</v>
      </c>
      <c r="I753" t="s">
        <v>143</v>
      </c>
      <c r="J753">
        <v>1</v>
      </c>
      <c r="K753">
        <v>13559.18</v>
      </c>
      <c r="L753">
        <v>30</v>
      </c>
      <c r="M753">
        <v>13559.18</v>
      </c>
      <c r="N753">
        <v>11312.03</v>
      </c>
      <c r="O753">
        <v>2247.15</v>
      </c>
      <c r="P753" t="s">
        <v>29</v>
      </c>
      <c r="Q753">
        <v>1</v>
      </c>
      <c r="R753" t="s">
        <v>30</v>
      </c>
      <c r="S753" t="s">
        <v>162</v>
      </c>
      <c r="T753">
        <v>2024</v>
      </c>
    </row>
    <row r="754" spans="1:20" x14ac:dyDescent="0.3">
      <c r="A754" t="s">
        <v>1206</v>
      </c>
      <c r="B754" t="s">
        <v>556</v>
      </c>
      <c r="C754" t="s">
        <v>90</v>
      </c>
      <c r="D754" t="s">
        <v>81</v>
      </c>
      <c r="E754" t="s">
        <v>82</v>
      </c>
      <c r="F754" t="s">
        <v>54</v>
      </c>
      <c r="G754" t="s">
        <v>55</v>
      </c>
      <c r="H754" t="s">
        <v>92</v>
      </c>
      <c r="I754" t="s">
        <v>296</v>
      </c>
      <c r="J754">
        <v>2</v>
      </c>
      <c r="K754">
        <v>41926.03</v>
      </c>
      <c r="L754">
        <v>25</v>
      </c>
      <c r="M754">
        <v>83852.06</v>
      </c>
      <c r="N754">
        <v>59348.9</v>
      </c>
      <c r="O754">
        <v>24503.16</v>
      </c>
      <c r="P754" t="s">
        <v>113</v>
      </c>
      <c r="Q754">
        <v>3.6</v>
      </c>
      <c r="R754" t="s">
        <v>159</v>
      </c>
      <c r="S754" t="s">
        <v>102</v>
      </c>
      <c r="T754">
        <v>2025</v>
      </c>
    </row>
    <row r="755" spans="1:20" x14ac:dyDescent="0.3">
      <c r="A755" t="s">
        <v>1207</v>
      </c>
      <c r="B755" t="s">
        <v>712</v>
      </c>
      <c r="C755" t="s">
        <v>97</v>
      </c>
      <c r="D755" t="s">
        <v>23</v>
      </c>
      <c r="E755" t="s">
        <v>24</v>
      </c>
      <c r="F755" t="s">
        <v>45</v>
      </c>
      <c r="G755" t="s">
        <v>46</v>
      </c>
      <c r="H755" t="s">
        <v>106</v>
      </c>
      <c r="I755" t="s">
        <v>101</v>
      </c>
      <c r="J755">
        <v>4</v>
      </c>
      <c r="K755">
        <v>12930.46</v>
      </c>
      <c r="L755">
        <v>5</v>
      </c>
      <c r="M755">
        <v>51721.84</v>
      </c>
      <c r="N755">
        <v>38906.65</v>
      </c>
      <c r="O755">
        <v>12815.19</v>
      </c>
      <c r="P755" t="s">
        <v>144</v>
      </c>
      <c r="Q755">
        <v>1.9</v>
      </c>
      <c r="R755" t="s">
        <v>30</v>
      </c>
      <c r="S755" t="s">
        <v>42</v>
      </c>
      <c r="T755">
        <v>2024</v>
      </c>
    </row>
    <row r="756" spans="1:20" x14ac:dyDescent="0.3">
      <c r="A756" t="s">
        <v>1208</v>
      </c>
      <c r="B756" t="s">
        <v>642</v>
      </c>
      <c r="C756" t="s">
        <v>136</v>
      </c>
      <c r="D756" t="s">
        <v>81</v>
      </c>
      <c r="E756" t="s">
        <v>149</v>
      </c>
      <c r="F756" t="s">
        <v>54</v>
      </c>
      <c r="G756" t="s">
        <v>228</v>
      </c>
      <c r="H756" t="s">
        <v>179</v>
      </c>
      <c r="I756" t="s">
        <v>118</v>
      </c>
      <c r="J756">
        <v>3</v>
      </c>
      <c r="K756">
        <v>37355.589999999997</v>
      </c>
      <c r="L756">
        <v>30</v>
      </c>
      <c r="M756">
        <v>112066.77</v>
      </c>
      <c r="N756">
        <v>94266.9</v>
      </c>
      <c r="O756">
        <v>17799.87</v>
      </c>
      <c r="P756" t="s">
        <v>73</v>
      </c>
      <c r="Q756">
        <v>1.7</v>
      </c>
      <c r="R756" t="s">
        <v>30</v>
      </c>
      <c r="S756" t="s">
        <v>78</v>
      </c>
      <c r="T756">
        <v>2024</v>
      </c>
    </row>
    <row r="757" spans="1:20" x14ac:dyDescent="0.3">
      <c r="A757" t="s">
        <v>1209</v>
      </c>
      <c r="B757" t="s">
        <v>547</v>
      </c>
      <c r="C757" t="s">
        <v>200</v>
      </c>
      <c r="D757" t="s">
        <v>132</v>
      </c>
      <c r="E757" t="s">
        <v>158</v>
      </c>
      <c r="F757" t="s">
        <v>45</v>
      </c>
      <c r="G757" t="s">
        <v>105</v>
      </c>
      <c r="H757" t="s">
        <v>106</v>
      </c>
      <c r="I757" t="s">
        <v>101</v>
      </c>
      <c r="J757">
        <v>5</v>
      </c>
      <c r="K757">
        <v>18385.32</v>
      </c>
      <c r="L757">
        <v>15</v>
      </c>
      <c r="M757">
        <v>91926.6</v>
      </c>
      <c r="N757">
        <v>66279.679999999993</v>
      </c>
      <c r="O757">
        <v>25646.92</v>
      </c>
      <c r="P757" t="s">
        <v>41</v>
      </c>
      <c r="Q757">
        <v>3.8</v>
      </c>
      <c r="R757" t="s">
        <v>30</v>
      </c>
      <c r="S757" t="s">
        <v>49</v>
      </c>
      <c r="T757">
        <v>2024</v>
      </c>
    </row>
    <row r="758" spans="1:20" x14ac:dyDescent="0.3">
      <c r="A758" t="s">
        <v>1210</v>
      </c>
      <c r="B758" t="s">
        <v>683</v>
      </c>
      <c r="C758" t="s">
        <v>136</v>
      </c>
      <c r="D758" t="s">
        <v>23</v>
      </c>
      <c r="E758" t="s">
        <v>24</v>
      </c>
      <c r="F758" t="s">
        <v>25</v>
      </c>
      <c r="G758" t="s">
        <v>26</v>
      </c>
      <c r="H758" t="s">
        <v>129</v>
      </c>
      <c r="I758" t="s">
        <v>112</v>
      </c>
      <c r="J758">
        <v>4</v>
      </c>
      <c r="K758">
        <v>5299.58</v>
      </c>
      <c r="L758">
        <v>20</v>
      </c>
      <c r="M758">
        <v>21198.32</v>
      </c>
      <c r="N758">
        <v>16287.04</v>
      </c>
      <c r="O758">
        <v>4911.28</v>
      </c>
      <c r="P758" t="s">
        <v>29</v>
      </c>
      <c r="Q758">
        <v>2.8</v>
      </c>
      <c r="R758" t="s">
        <v>30</v>
      </c>
      <c r="S758" t="s">
        <v>162</v>
      </c>
      <c r="T758">
        <v>2024</v>
      </c>
    </row>
    <row r="759" spans="1:20" x14ac:dyDescent="0.3">
      <c r="A759" t="s">
        <v>1211</v>
      </c>
      <c r="B759" t="s">
        <v>167</v>
      </c>
      <c r="C759" t="s">
        <v>168</v>
      </c>
      <c r="D759" t="s">
        <v>52</v>
      </c>
      <c r="E759" t="s">
        <v>53</v>
      </c>
      <c r="F759" t="s">
        <v>25</v>
      </c>
      <c r="G759" t="s">
        <v>26</v>
      </c>
      <c r="H759" t="s">
        <v>27</v>
      </c>
      <c r="I759" t="s">
        <v>28</v>
      </c>
      <c r="J759">
        <v>4</v>
      </c>
      <c r="K759">
        <v>7649.41</v>
      </c>
      <c r="L759">
        <v>15</v>
      </c>
      <c r="M759">
        <v>30597.64</v>
      </c>
      <c r="N759">
        <v>24735.34</v>
      </c>
      <c r="O759">
        <v>5862.3</v>
      </c>
      <c r="P759" t="s">
        <v>41</v>
      </c>
      <c r="Q759">
        <v>1.6</v>
      </c>
      <c r="R759" t="s">
        <v>30</v>
      </c>
      <c r="S759" t="s">
        <v>107</v>
      </c>
      <c r="T759">
        <v>2024</v>
      </c>
    </row>
    <row r="760" spans="1:20" x14ac:dyDescent="0.3">
      <c r="A760" t="s">
        <v>1212</v>
      </c>
      <c r="B760" t="s">
        <v>340</v>
      </c>
      <c r="C760" t="s">
        <v>136</v>
      </c>
      <c r="D760" t="s">
        <v>23</v>
      </c>
      <c r="E760" t="s">
        <v>24</v>
      </c>
      <c r="F760" t="s">
        <v>62</v>
      </c>
      <c r="G760" t="s">
        <v>63</v>
      </c>
      <c r="H760" t="s">
        <v>72</v>
      </c>
      <c r="I760" t="s">
        <v>65</v>
      </c>
      <c r="J760">
        <v>4</v>
      </c>
      <c r="K760">
        <v>36950.980000000003</v>
      </c>
      <c r="L760">
        <v>15</v>
      </c>
      <c r="M760">
        <v>147803.92000000001</v>
      </c>
      <c r="N760">
        <v>100932.96</v>
      </c>
      <c r="O760">
        <v>46870.96</v>
      </c>
      <c r="P760" t="s">
        <v>29</v>
      </c>
      <c r="Q760">
        <v>3</v>
      </c>
      <c r="R760" t="s">
        <v>30</v>
      </c>
      <c r="S760" t="s">
        <v>74</v>
      </c>
      <c r="T760">
        <v>2024</v>
      </c>
    </row>
    <row r="761" spans="1:20" x14ac:dyDescent="0.3">
      <c r="A761" t="s">
        <v>1213</v>
      </c>
      <c r="B761" t="s">
        <v>263</v>
      </c>
      <c r="C761" t="s">
        <v>34</v>
      </c>
      <c r="D761" t="s">
        <v>23</v>
      </c>
      <c r="E761" t="s">
        <v>24</v>
      </c>
      <c r="F761" t="s">
        <v>25</v>
      </c>
      <c r="G761" t="s">
        <v>26</v>
      </c>
      <c r="H761" t="s">
        <v>121</v>
      </c>
      <c r="I761" t="s">
        <v>28</v>
      </c>
      <c r="J761">
        <v>1</v>
      </c>
      <c r="K761">
        <v>2136.9899999999998</v>
      </c>
      <c r="L761">
        <v>10</v>
      </c>
      <c r="M761">
        <v>2136.9899999999998</v>
      </c>
      <c r="N761">
        <v>1492.41</v>
      </c>
      <c r="O761">
        <v>644.58000000000004</v>
      </c>
      <c r="P761" t="s">
        <v>144</v>
      </c>
      <c r="Q761">
        <v>2.2000000000000002</v>
      </c>
      <c r="R761" t="s">
        <v>30</v>
      </c>
      <c r="S761" t="s">
        <v>31</v>
      </c>
      <c r="T761">
        <v>2024</v>
      </c>
    </row>
    <row r="762" spans="1:20" x14ac:dyDescent="0.3">
      <c r="A762" t="s">
        <v>1214</v>
      </c>
      <c r="B762" t="s">
        <v>104</v>
      </c>
      <c r="C762" t="s">
        <v>22</v>
      </c>
      <c r="D762" t="s">
        <v>98</v>
      </c>
      <c r="E762" t="s">
        <v>99</v>
      </c>
      <c r="F762" t="s">
        <v>62</v>
      </c>
      <c r="G762" t="s">
        <v>63</v>
      </c>
      <c r="H762" t="s">
        <v>271</v>
      </c>
      <c r="I762" t="s">
        <v>165</v>
      </c>
      <c r="J762">
        <v>5</v>
      </c>
      <c r="K762">
        <v>19693.93</v>
      </c>
      <c r="L762">
        <v>15</v>
      </c>
      <c r="M762">
        <v>98469.65</v>
      </c>
      <c r="N762">
        <v>66474.789999999994</v>
      </c>
      <c r="O762">
        <v>31994.86</v>
      </c>
      <c r="P762" t="s">
        <v>73</v>
      </c>
      <c r="Q762">
        <v>1.9</v>
      </c>
      <c r="R762" t="s">
        <v>30</v>
      </c>
      <c r="S762" t="s">
        <v>107</v>
      </c>
      <c r="T762">
        <v>2024</v>
      </c>
    </row>
    <row r="763" spans="1:20" x14ac:dyDescent="0.3">
      <c r="A763" t="s">
        <v>1215</v>
      </c>
      <c r="B763" t="s">
        <v>223</v>
      </c>
      <c r="C763" t="s">
        <v>80</v>
      </c>
      <c r="D763" t="s">
        <v>125</v>
      </c>
      <c r="E763" t="s">
        <v>139</v>
      </c>
      <c r="F763" t="s">
        <v>62</v>
      </c>
      <c r="G763" t="s">
        <v>63</v>
      </c>
      <c r="H763" t="s">
        <v>271</v>
      </c>
      <c r="I763" t="s">
        <v>165</v>
      </c>
      <c r="J763">
        <v>2</v>
      </c>
      <c r="K763">
        <v>16179.61</v>
      </c>
      <c r="L763">
        <v>10</v>
      </c>
      <c r="M763">
        <v>32359.22</v>
      </c>
      <c r="N763">
        <v>26541.15</v>
      </c>
      <c r="O763">
        <v>5818.07</v>
      </c>
      <c r="P763" t="s">
        <v>29</v>
      </c>
      <c r="Q763">
        <v>2.7</v>
      </c>
      <c r="R763" t="s">
        <v>30</v>
      </c>
      <c r="S763" t="s">
        <v>58</v>
      </c>
      <c r="T763">
        <v>2024</v>
      </c>
    </row>
    <row r="764" spans="1:20" x14ac:dyDescent="0.3">
      <c r="A764" t="s">
        <v>1216</v>
      </c>
      <c r="B764" t="s">
        <v>504</v>
      </c>
      <c r="C764" t="s">
        <v>168</v>
      </c>
      <c r="D764" t="s">
        <v>69</v>
      </c>
      <c r="E764" t="s">
        <v>70</v>
      </c>
      <c r="F764" t="s">
        <v>25</v>
      </c>
      <c r="G764" t="s">
        <v>111</v>
      </c>
      <c r="H764" t="s">
        <v>27</v>
      </c>
      <c r="I764" t="s">
        <v>28</v>
      </c>
      <c r="J764">
        <v>4</v>
      </c>
      <c r="K764">
        <v>45910.23</v>
      </c>
      <c r="L764">
        <v>20</v>
      </c>
      <c r="M764">
        <v>183640.92</v>
      </c>
      <c r="N764">
        <v>146513.65</v>
      </c>
      <c r="O764">
        <v>37127.269999999997</v>
      </c>
      <c r="P764" t="s">
        <v>144</v>
      </c>
      <c r="Q764">
        <v>1.6</v>
      </c>
      <c r="R764" t="s">
        <v>159</v>
      </c>
      <c r="S764" t="s">
        <v>42</v>
      </c>
      <c r="T764">
        <v>2024</v>
      </c>
    </row>
    <row r="765" spans="1:20" x14ac:dyDescent="0.3">
      <c r="A765" t="s">
        <v>1217</v>
      </c>
      <c r="B765" t="s">
        <v>404</v>
      </c>
      <c r="C765" t="s">
        <v>168</v>
      </c>
      <c r="D765" t="s">
        <v>132</v>
      </c>
      <c r="E765" t="s">
        <v>133</v>
      </c>
      <c r="F765" t="s">
        <v>45</v>
      </c>
      <c r="G765" t="s">
        <v>46</v>
      </c>
      <c r="H765" t="s">
        <v>106</v>
      </c>
      <c r="I765" t="s">
        <v>101</v>
      </c>
      <c r="J765">
        <v>2</v>
      </c>
      <c r="K765">
        <v>6685.9</v>
      </c>
      <c r="L765">
        <v>5</v>
      </c>
      <c r="M765">
        <v>13371.8</v>
      </c>
      <c r="N765">
        <v>10520.15</v>
      </c>
      <c r="O765">
        <v>2851.65</v>
      </c>
      <c r="P765" t="s">
        <v>29</v>
      </c>
      <c r="Q765">
        <v>2</v>
      </c>
      <c r="R765" t="s">
        <v>30</v>
      </c>
      <c r="S765" t="s">
        <v>102</v>
      </c>
      <c r="T765">
        <v>2024</v>
      </c>
    </row>
    <row r="766" spans="1:20" x14ac:dyDescent="0.3">
      <c r="A766" t="s">
        <v>1218</v>
      </c>
      <c r="B766" t="s">
        <v>21</v>
      </c>
      <c r="C766" t="s">
        <v>168</v>
      </c>
      <c r="D766" t="s">
        <v>23</v>
      </c>
      <c r="E766" t="s">
        <v>24</v>
      </c>
      <c r="F766" t="s">
        <v>25</v>
      </c>
      <c r="G766" t="s">
        <v>26</v>
      </c>
      <c r="H766" t="s">
        <v>235</v>
      </c>
      <c r="I766" t="s">
        <v>28</v>
      </c>
      <c r="J766">
        <v>3</v>
      </c>
      <c r="K766">
        <v>2258.89</v>
      </c>
      <c r="L766">
        <v>20</v>
      </c>
      <c r="M766">
        <v>6776.67</v>
      </c>
      <c r="N766">
        <v>4781.18</v>
      </c>
      <c r="O766">
        <v>1995.49</v>
      </c>
      <c r="P766" t="s">
        <v>73</v>
      </c>
      <c r="Q766">
        <v>2</v>
      </c>
      <c r="R766" t="s">
        <v>30</v>
      </c>
      <c r="S766" t="s">
        <v>31</v>
      </c>
      <c r="T766">
        <v>2024</v>
      </c>
    </row>
    <row r="767" spans="1:20" x14ac:dyDescent="0.3">
      <c r="A767" t="s">
        <v>1219</v>
      </c>
      <c r="B767" t="s">
        <v>578</v>
      </c>
      <c r="C767" t="s">
        <v>97</v>
      </c>
      <c r="D767" t="s">
        <v>125</v>
      </c>
      <c r="E767" t="s">
        <v>139</v>
      </c>
      <c r="F767" t="s">
        <v>25</v>
      </c>
      <c r="G767" t="s">
        <v>111</v>
      </c>
      <c r="H767" t="s">
        <v>27</v>
      </c>
      <c r="I767" t="s">
        <v>28</v>
      </c>
      <c r="J767">
        <v>1</v>
      </c>
      <c r="K767">
        <v>25282.52</v>
      </c>
      <c r="L767">
        <v>20</v>
      </c>
      <c r="M767">
        <v>25282.52</v>
      </c>
      <c r="N767">
        <v>18983.68</v>
      </c>
      <c r="O767">
        <v>6298.84</v>
      </c>
      <c r="P767" t="s">
        <v>122</v>
      </c>
      <c r="Q767">
        <v>4.5</v>
      </c>
      <c r="R767" t="s">
        <v>30</v>
      </c>
      <c r="S767" t="s">
        <v>31</v>
      </c>
      <c r="T767">
        <v>2024</v>
      </c>
    </row>
    <row r="768" spans="1:20" x14ac:dyDescent="0.3">
      <c r="A768" t="s">
        <v>1220</v>
      </c>
      <c r="B768" t="s">
        <v>1168</v>
      </c>
      <c r="C768" t="s">
        <v>34</v>
      </c>
      <c r="D768" t="s">
        <v>69</v>
      </c>
      <c r="E768" t="s">
        <v>70</v>
      </c>
      <c r="F768" t="s">
        <v>45</v>
      </c>
      <c r="G768" t="s">
        <v>105</v>
      </c>
      <c r="H768" t="s">
        <v>188</v>
      </c>
      <c r="I768" t="s">
        <v>101</v>
      </c>
      <c r="J768">
        <v>5</v>
      </c>
      <c r="K768">
        <v>11461.72</v>
      </c>
      <c r="L768">
        <v>25</v>
      </c>
      <c r="M768">
        <v>57308.6</v>
      </c>
      <c r="N768">
        <v>43712.3</v>
      </c>
      <c r="O768">
        <v>13596.3</v>
      </c>
      <c r="P768" t="s">
        <v>29</v>
      </c>
      <c r="Q768">
        <v>3</v>
      </c>
      <c r="R768" t="s">
        <v>159</v>
      </c>
      <c r="S768" t="s">
        <v>58</v>
      </c>
      <c r="T768">
        <v>2024</v>
      </c>
    </row>
    <row r="769" spans="1:20" x14ac:dyDescent="0.3">
      <c r="A769" t="s">
        <v>1221</v>
      </c>
      <c r="B769" t="s">
        <v>1222</v>
      </c>
      <c r="C769" t="s">
        <v>80</v>
      </c>
      <c r="D769" t="s">
        <v>98</v>
      </c>
      <c r="E769" t="s">
        <v>99</v>
      </c>
      <c r="F769" t="s">
        <v>45</v>
      </c>
      <c r="G769" t="s">
        <v>105</v>
      </c>
      <c r="H769" t="s">
        <v>188</v>
      </c>
      <c r="I769" t="s">
        <v>169</v>
      </c>
      <c r="J769">
        <v>4</v>
      </c>
      <c r="K769">
        <v>17915.599999999999</v>
      </c>
      <c r="L769">
        <v>25</v>
      </c>
      <c r="M769">
        <v>71662.399999999994</v>
      </c>
      <c r="N769">
        <v>60912.65</v>
      </c>
      <c r="O769">
        <v>10749.75</v>
      </c>
      <c r="P769" t="s">
        <v>41</v>
      </c>
      <c r="Q769">
        <v>1.8</v>
      </c>
      <c r="R769" t="s">
        <v>30</v>
      </c>
      <c r="S769" t="s">
        <v>162</v>
      </c>
      <c r="T769">
        <v>2024</v>
      </c>
    </row>
    <row r="770" spans="1:20" x14ac:dyDescent="0.3">
      <c r="A770" t="s">
        <v>1223</v>
      </c>
      <c r="B770" t="s">
        <v>251</v>
      </c>
      <c r="C770" t="s">
        <v>168</v>
      </c>
      <c r="D770" t="s">
        <v>132</v>
      </c>
      <c r="E770" t="s">
        <v>158</v>
      </c>
      <c r="F770" t="s">
        <v>45</v>
      </c>
      <c r="G770" t="s">
        <v>105</v>
      </c>
      <c r="H770" t="s">
        <v>106</v>
      </c>
      <c r="I770" t="s">
        <v>169</v>
      </c>
      <c r="J770">
        <v>2</v>
      </c>
      <c r="K770">
        <v>22703.03</v>
      </c>
      <c r="L770">
        <v>25</v>
      </c>
      <c r="M770">
        <v>45406.06</v>
      </c>
      <c r="N770">
        <v>34697.67</v>
      </c>
      <c r="O770">
        <v>10708.39</v>
      </c>
      <c r="P770" t="s">
        <v>144</v>
      </c>
      <c r="Q770">
        <v>5</v>
      </c>
      <c r="R770" t="s">
        <v>30</v>
      </c>
      <c r="S770" t="s">
        <v>49</v>
      </c>
      <c r="T770">
        <v>2024</v>
      </c>
    </row>
    <row r="771" spans="1:20" x14ac:dyDescent="0.3">
      <c r="A771" t="s">
        <v>1224</v>
      </c>
      <c r="B771" t="s">
        <v>259</v>
      </c>
      <c r="C771" t="s">
        <v>200</v>
      </c>
      <c r="D771" t="s">
        <v>132</v>
      </c>
      <c r="E771" t="s">
        <v>158</v>
      </c>
      <c r="F771" t="s">
        <v>54</v>
      </c>
      <c r="G771" t="s">
        <v>228</v>
      </c>
      <c r="H771" t="s">
        <v>91</v>
      </c>
      <c r="I771" t="s">
        <v>93</v>
      </c>
      <c r="J771">
        <v>2</v>
      </c>
      <c r="K771">
        <v>42210.82</v>
      </c>
      <c r="L771">
        <v>25</v>
      </c>
      <c r="M771">
        <v>84421.64</v>
      </c>
      <c r="N771">
        <v>58797.73</v>
      </c>
      <c r="O771">
        <v>25623.91</v>
      </c>
      <c r="P771" t="s">
        <v>73</v>
      </c>
      <c r="Q771">
        <v>2.8</v>
      </c>
      <c r="R771" t="s">
        <v>30</v>
      </c>
      <c r="S771" t="s">
        <v>94</v>
      </c>
      <c r="T771">
        <v>2024</v>
      </c>
    </row>
    <row r="772" spans="1:20" x14ac:dyDescent="0.3">
      <c r="A772" t="s">
        <v>1225</v>
      </c>
      <c r="B772" t="s">
        <v>387</v>
      </c>
      <c r="C772" t="s">
        <v>80</v>
      </c>
      <c r="D772" t="s">
        <v>35</v>
      </c>
      <c r="E772" t="s">
        <v>36</v>
      </c>
      <c r="F772" t="s">
        <v>62</v>
      </c>
      <c r="G772" t="s">
        <v>63</v>
      </c>
      <c r="H772" t="s">
        <v>271</v>
      </c>
      <c r="I772" t="s">
        <v>65</v>
      </c>
      <c r="J772">
        <v>3</v>
      </c>
      <c r="K772">
        <v>7355.5</v>
      </c>
      <c r="L772">
        <v>10</v>
      </c>
      <c r="M772">
        <v>22066.5</v>
      </c>
      <c r="N772">
        <v>16512.23</v>
      </c>
      <c r="O772">
        <v>5554.27</v>
      </c>
      <c r="P772" t="s">
        <v>144</v>
      </c>
      <c r="Q772">
        <v>2</v>
      </c>
      <c r="R772" t="s">
        <v>30</v>
      </c>
      <c r="S772" t="s">
        <v>87</v>
      </c>
      <c r="T772">
        <v>2025</v>
      </c>
    </row>
    <row r="773" spans="1:20" x14ac:dyDescent="0.3">
      <c r="A773" t="s">
        <v>1226</v>
      </c>
      <c r="B773" t="s">
        <v>745</v>
      </c>
      <c r="C773" t="s">
        <v>90</v>
      </c>
      <c r="D773" t="s">
        <v>35</v>
      </c>
      <c r="E773" t="s">
        <v>36</v>
      </c>
      <c r="F773" t="s">
        <v>62</v>
      </c>
      <c r="G773" t="s">
        <v>71</v>
      </c>
      <c r="H773" t="s">
        <v>83</v>
      </c>
      <c r="I773" t="s">
        <v>165</v>
      </c>
      <c r="J773">
        <v>1</v>
      </c>
      <c r="K773">
        <v>13879</v>
      </c>
      <c r="L773">
        <v>5</v>
      </c>
      <c r="M773">
        <v>13879</v>
      </c>
      <c r="N773">
        <v>11750.18</v>
      </c>
      <c r="O773">
        <v>2128.8200000000002</v>
      </c>
      <c r="P773" t="s">
        <v>113</v>
      </c>
      <c r="Q773">
        <v>2.5</v>
      </c>
      <c r="R773" t="s">
        <v>30</v>
      </c>
      <c r="S773" t="s">
        <v>119</v>
      </c>
      <c r="T773">
        <v>2024</v>
      </c>
    </row>
    <row r="774" spans="1:20" x14ac:dyDescent="0.3">
      <c r="A774" t="s">
        <v>1227</v>
      </c>
      <c r="B774" t="s">
        <v>479</v>
      </c>
      <c r="C774" t="s">
        <v>34</v>
      </c>
      <c r="D774" t="s">
        <v>81</v>
      </c>
      <c r="E774" t="s">
        <v>128</v>
      </c>
      <c r="F774" t="s">
        <v>62</v>
      </c>
      <c r="G774" t="s">
        <v>71</v>
      </c>
      <c r="H774" t="s">
        <v>271</v>
      </c>
      <c r="I774" t="s">
        <v>143</v>
      </c>
      <c r="J774">
        <v>5</v>
      </c>
      <c r="K774">
        <v>42604.95</v>
      </c>
      <c r="L774">
        <v>25</v>
      </c>
      <c r="M774">
        <v>213024.75</v>
      </c>
      <c r="N774">
        <v>147941.64000000001</v>
      </c>
      <c r="O774">
        <v>65083.11</v>
      </c>
      <c r="P774" t="s">
        <v>144</v>
      </c>
      <c r="Q774">
        <v>3</v>
      </c>
      <c r="R774" t="s">
        <v>30</v>
      </c>
      <c r="S774" t="s">
        <v>78</v>
      </c>
      <c r="T774">
        <v>2024</v>
      </c>
    </row>
    <row r="775" spans="1:20" x14ac:dyDescent="0.3">
      <c r="A775" t="s">
        <v>1228</v>
      </c>
      <c r="B775" t="s">
        <v>864</v>
      </c>
      <c r="C775" t="s">
        <v>116</v>
      </c>
      <c r="D775" t="s">
        <v>81</v>
      </c>
      <c r="E775" t="s">
        <v>149</v>
      </c>
      <c r="F775" t="s">
        <v>54</v>
      </c>
      <c r="G775" t="s">
        <v>55</v>
      </c>
      <c r="H775" t="s">
        <v>56</v>
      </c>
      <c r="I775" t="s">
        <v>93</v>
      </c>
      <c r="J775">
        <v>1</v>
      </c>
      <c r="K775">
        <v>31265.89</v>
      </c>
      <c r="L775">
        <v>20</v>
      </c>
      <c r="M775">
        <v>31265.89</v>
      </c>
      <c r="N775">
        <v>24008.61</v>
      </c>
      <c r="O775">
        <v>7257.28</v>
      </c>
      <c r="P775" t="s">
        <v>41</v>
      </c>
      <c r="Q775">
        <v>4.9000000000000004</v>
      </c>
      <c r="R775" t="s">
        <v>30</v>
      </c>
      <c r="S775" t="s">
        <v>119</v>
      </c>
      <c r="T775">
        <v>2024</v>
      </c>
    </row>
    <row r="776" spans="1:20" x14ac:dyDescent="0.3">
      <c r="A776" t="s">
        <v>1229</v>
      </c>
      <c r="B776" t="s">
        <v>576</v>
      </c>
      <c r="C776" t="s">
        <v>61</v>
      </c>
      <c r="D776" t="s">
        <v>132</v>
      </c>
      <c r="E776" t="s">
        <v>158</v>
      </c>
      <c r="F776" t="s">
        <v>37</v>
      </c>
      <c r="G776" t="s">
        <v>38</v>
      </c>
      <c r="H776" t="s">
        <v>327</v>
      </c>
      <c r="I776" t="s">
        <v>40</v>
      </c>
      <c r="J776">
        <v>5</v>
      </c>
      <c r="K776">
        <v>20020.830000000002</v>
      </c>
      <c r="L776">
        <v>20</v>
      </c>
      <c r="M776">
        <v>100104.15</v>
      </c>
      <c r="N776">
        <v>78168.17</v>
      </c>
      <c r="O776">
        <v>21935.98</v>
      </c>
      <c r="P776" t="s">
        <v>122</v>
      </c>
      <c r="Q776">
        <v>1.8</v>
      </c>
      <c r="R776" t="s">
        <v>30</v>
      </c>
      <c r="S776" t="s">
        <v>31</v>
      </c>
      <c r="T776">
        <v>2024</v>
      </c>
    </row>
    <row r="777" spans="1:20" x14ac:dyDescent="0.3">
      <c r="A777" t="s">
        <v>1230</v>
      </c>
      <c r="B777" t="s">
        <v>1143</v>
      </c>
      <c r="C777" t="s">
        <v>168</v>
      </c>
      <c r="D777" t="s">
        <v>132</v>
      </c>
      <c r="E777" t="s">
        <v>133</v>
      </c>
      <c r="F777" t="s">
        <v>25</v>
      </c>
      <c r="G777" t="s">
        <v>111</v>
      </c>
      <c r="H777" t="s">
        <v>129</v>
      </c>
      <c r="I777" t="s">
        <v>28</v>
      </c>
      <c r="J777">
        <v>3</v>
      </c>
      <c r="K777">
        <v>24680.19</v>
      </c>
      <c r="L777">
        <v>20</v>
      </c>
      <c r="M777">
        <v>74040.570000000007</v>
      </c>
      <c r="N777">
        <v>58054.400000000001</v>
      </c>
      <c r="O777">
        <v>15986.17</v>
      </c>
      <c r="P777" t="s">
        <v>113</v>
      </c>
      <c r="Q777">
        <v>3.5</v>
      </c>
      <c r="R777" t="s">
        <v>30</v>
      </c>
      <c r="S777" t="s">
        <v>49</v>
      </c>
      <c r="T777">
        <v>2024</v>
      </c>
    </row>
    <row r="778" spans="1:20" x14ac:dyDescent="0.3">
      <c r="A778" t="s">
        <v>1231</v>
      </c>
      <c r="B778" t="s">
        <v>173</v>
      </c>
      <c r="C778" t="s">
        <v>97</v>
      </c>
      <c r="D778" t="s">
        <v>69</v>
      </c>
      <c r="E778" t="s">
        <v>70</v>
      </c>
      <c r="F778" t="s">
        <v>45</v>
      </c>
      <c r="G778" t="s">
        <v>105</v>
      </c>
      <c r="H778" t="s">
        <v>106</v>
      </c>
      <c r="I778" t="s">
        <v>169</v>
      </c>
      <c r="J778">
        <v>4</v>
      </c>
      <c r="K778">
        <v>22254.17</v>
      </c>
      <c r="L778">
        <v>25</v>
      </c>
      <c r="M778">
        <v>89016.68</v>
      </c>
      <c r="N778">
        <v>60168.71</v>
      </c>
      <c r="O778">
        <v>28847.97</v>
      </c>
      <c r="P778" t="s">
        <v>29</v>
      </c>
      <c r="Q778">
        <v>3.8</v>
      </c>
      <c r="R778" t="s">
        <v>30</v>
      </c>
      <c r="S778" t="s">
        <v>107</v>
      </c>
      <c r="T778">
        <v>2024</v>
      </c>
    </row>
    <row r="779" spans="1:20" x14ac:dyDescent="0.3">
      <c r="A779" t="s">
        <v>1232</v>
      </c>
      <c r="B779" t="s">
        <v>263</v>
      </c>
      <c r="C779" t="s">
        <v>136</v>
      </c>
      <c r="D779" t="s">
        <v>69</v>
      </c>
      <c r="E779" t="s">
        <v>155</v>
      </c>
      <c r="F779" t="s">
        <v>25</v>
      </c>
      <c r="G779" t="s">
        <v>111</v>
      </c>
      <c r="H779" t="s">
        <v>221</v>
      </c>
      <c r="I779" t="s">
        <v>28</v>
      </c>
      <c r="J779">
        <v>1</v>
      </c>
      <c r="K779">
        <v>4226.03</v>
      </c>
      <c r="L779">
        <v>30</v>
      </c>
      <c r="M779">
        <v>4226.03</v>
      </c>
      <c r="N779">
        <v>2824.2</v>
      </c>
      <c r="O779">
        <v>1401.83</v>
      </c>
      <c r="P779" t="s">
        <v>29</v>
      </c>
      <c r="Q779">
        <v>2.8</v>
      </c>
      <c r="R779" t="s">
        <v>30</v>
      </c>
      <c r="S779" t="s">
        <v>31</v>
      </c>
      <c r="T779">
        <v>2024</v>
      </c>
    </row>
    <row r="780" spans="1:20" x14ac:dyDescent="0.3">
      <c r="A780" t="s">
        <v>1233</v>
      </c>
      <c r="B780" t="s">
        <v>850</v>
      </c>
      <c r="C780" t="s">
        <v>61</v>
      </c>
      <c r="D780" t="s">
        <v>69</v>
      </c>
      <c r="E780" t="s">
        <v>70</v>
      </c>
      <c r="F780" t="s">
        <v>62</v>
      </c>
      <c r="G780" t="s">
        <v>63</v>
      </c>
      <c r="H780" t="s">
        <v>152</v>
      </c>
      <c r="I780" t="s">
        <v>65</v>
      </c>
      <c r="J780">
        <v>3</v>
      </c>
      <c r="K780">
        <v>46315.8</v>
      </c>
      <c r="L780">
        <v>5</v>
      </c>
      <c r="M780">
        <v>138947.4</v>
      </c>
      <c r="N780">
        <v>102680.53</v>
      </c>
      <c r="O780">
        <v>36266.870000000003</v>
      </c>
      <c r="P780" t="s">
        <v>73</v>
      </c>
      <c r="Q780">
        <v>2.4</v>
      </c>
      <c r="R780" t="s">
        <v>30</v>
      </c>
      <c r="S780" t="s">
        <v>49</v>
      </c>
      <c r="T780">
        <v>2024</v>
      </c>
    </row>
    <row r="781" spans="1:20" x14ac:dyDescent="0.3">
      <c r="A781" t="s">
        <v>1234</v>
      </c>
      <c r="B781" t="s">
        <v>675</v>
      </c>
      <c r="C781" t="s">
        <v>97</v>
      </c>
      <c r="D781" t="s">
        <v>98</v>
      </c>
      <c r="E781" t="s">
        <v>99</v>
      </c>
      <c r="F781" t="s">
        <v>54</v>
      </c>
      <c r="G781" t="s">
        <v>91</v>
      </c>
      <c r="H781" t="s">
        <v>56</v>
      </c>
      <c r="I781" t="s">
        <v>180</v>
      </c>
      <c r="J781">
        <v>3</v>
      </c>
      <c r="K781">
        <v>1320.32</v>
      </c>
      <c r="L781">
        <v>15</v>
      </c>
      <c r="M781">
        <v>3960.96</v>
      </c>
      <c r="N781">
        <v>2875.71</v>
      </c>
      <c r="O781">
        <v>1085.25</v>
      </c>
      <c r="P781" t="s">
        <v>73</v>
      </c>
      <c r="Q781">
        <v>2</v>
      </c>
      <c r="R781" t="s">
        <v>30</v>
      </c>
      <c r="S781" t="s">
        <v>87</v>
      </c>
      <c r="T781">
        <v>2025</v>
      </c>
    </row>
    <row r="782" spans="1:20" x14ac:dyDescent="0.3">
      <c r="A782" t="s">
        <v>1235</v>
      </c>
      <c r="B782" t="s">
        <v>554</v>
      </c>
      <c r="C782" t="s">
        <v>90</v>
      </c>
      <c r="D782" t="s">
        <v>35</v>
      </c>
      <c r="E782" t="s">
        <v>36</v>
      </c>
      <c r="F782" t="s">
        <v>25</v>
      </c>
      <c r="G782" t="s">
        <v>111</v>
      </c>
      <c r="H782" t="s">
        <v>129</v>
      </c>
      <c r="I782" t="s">
        <v>28</v>
      </c>
      <c r="J782">
        <v>4</v>
      </c>
      <c r="K782">
        <v>9772.82</v>
      </c>
      <c r="L782">
        <v>30</v>
      </c>
      <c r="M782">
        <v>39091.279999999999</v>
      </c>
      <c r="N782">
        <v>28966.959999999999</v>
      </c>
      <c r="O782">
        <v>10124.32</v>
      </c>
      <c r="P782" t="s">
        <v>41</v>
      </c>
      <c r="Q782">
        <v>3.1</v>
      </c>
      <c r="R782" t="s">
        <v>30</v>
      </c>
      <c r="S782" t="s">
        <v>58</v>
      </c>
      <c r="T782">
        <v>2024</v>
      </c>
    </row>
    <row r="783" spans="1:20" x14ac:dyDescent="0.3">
      <c r="A783" t="s">
        <v>1236</v>
      </c>
      <c r="B783" t="s">
        <v>197</v>
      </c>
      <c r="C783" t="s">
        <v>136</v>
      </c>
      <c r="D783" t="s">
        <v>69</v>
      </c>
      <c r="E783" t="s">
        <v>155</v>
      </c>
      <c r="F783" t="s">
        <v>25</v>
      </c>
      <c r="G783" t="s">
        <v>111</v>
      </c>
      <c r="H783" t="s">
        <v>121</v>
      </c>
      <c r="I783" t="s">
        <v>112</v>
      </c>
      <c r="J783">
        <v>1</v>
      </c>
      <c r="K783">
        <v>47666.18</v>
      </c>
      <c r="L783">
        <v>20</v>
      </c>
      <c r="M783">
        <v>47666.18</v>
      </c>
      <c r="N783">
        <v>37671.449999999997</v>
      </c>
      <c r="O783">
        <v>9994.73</v>
      </c>
      <c r="P783" t="s">
        <v>41</v>
      </c>
      <c r="Q783">
        <v>2.2999999999999998</v>
      </c>
      <c r="R783" t="s">
        <v>30</v>
      </c>
      <c r="S783" t="s">
        <v>102</v>
      </c>
      <c r="T783">
        <v>2024</v>
      </c>
    </row>
    <row r="784" spans="1:20" x14ac:dyDescent="0.3">
      <c r="A784" t="s">
        <v>1237</v>
      </c>
      <c r="B784" t="s">
        <v>239</v>
      </c>
      <c r="C784" t="s">
        <v>200</v>
      </c>
      <c r="D784" t="s">
        <v>69</v>
      </c>
      <c r="E784" t="s">
        <v>155</v>
      </c>
      <c r="F784" t="s">
        <v>37</v>
      </c>
      <c r="G784" t="s">
        <v>38</v>
      </c>
      <c r="H784" t="s">
        <v>39</v>
      </c>
      <c r="I784" t="s">
        <v>40</v>
      </c>
      <c r="J784">
        <v>2</v>
      </c>
      <c r="K784">
        <v>7673.62</v>
      </c>
      <c r="L784">
        <v>5</v>
      </c>
      <c r="M784">
        <v>15347.24</v>
      </c>
      <c r="N784">
        <v>10311.77</v>
      </c>
      <c r="O784">
        <v>5035.47</v>
      </c>
      <c r="P784" t="s">
        <v>113</v>
      </c>
      <c r="Q784">
        <v>4.5999999999999996</v>
      </c>
      <c r="R784" t="s">
        <v>30</v>
      </c>
      <c r="S784" t="s">
        <v>119</v>
      </c>
      <c r="T784">
        <v>2024</v>
      </c>
    </row>
    <row r="785" spans="1:20" x14ac:dyDescent="0.3">
      <c r="A785" t="s">
        <v>1238</v>
      </c>
      <c r="B785" t="s">
        <v>556</v>
      </c>
      <c r="C785" t="s">
        <v>80</v>
      </c>
      <c r="D785" t="s">
        <v>132</v>
      </c>
      <c r="E785" t="s">
        <v>133</v>
      </c>
      <c r="F785" t="s">
        <v>62</v>
      </c>
      <c r="G785" t="s">
        <v>71</v>
      </c>
      <c r="H785" t="s">
        <v>271</v>
      </c>
      <c r="I785" t="s">
        <v>65</v>
      </c>
      <c r="J785">
        <v>2</v>
      </c>
      <c r="K785">
        <v>41671.06</v>
      </c>
      <c r="L785">
        <v>30</v>
      </c>
      <c r="M785">
        <v>83342.12</v>
      </c>
      <c r="N785">
        <v>56202.83</v>
      </c>
      <c r="O785">
        <v>27139.29</v>
      </c>
      <c r="P785" t="s">
        <v>41</v>
      </c>
      <c r="Q785">
        <v>2.2999999999999998</v>
      </c>
      <c r="R785" t="s">
        <v>30</v>
      </c>
      <c r="S785" t="s">
        <v>102</v>
      </c>
      <c r="T785">
        <v>2025</v>
      </c>
    </row>
    <row r="786" spans="1:20" x14ac:dyDescent="0.3">
      <c r="A786" t="s">
        <v>1239</v>
      </c>
      <c r="B786" t="s">
        <v>323</v>
      </c>
      <c r="C786" t="s">
        <v>97</v>
      </c>
      <c r="D786" t="s">
        <v>98</v>
      </c>
      <c r="E786" t="s">
        <v>99</v>
      </c>
      <c r="F786" t="s">
        <v>62</v>
      </c>
      <c r="G786" t="s">
        <v>63</v>
      </c>
      <c r="H786" t="s">
        <v>83</v>
      </c>
      <c r="I786" t="s">
        <v>143</v>
      </c>
      <c r="J786">
        <v>5</v>
      </c>
      <c r="K786">
        <v>15793.43</v>
      </c>
      <c r="L786">
        <v>25</v>
      </c>
      <c r="M786">
        <v>78967.149999999994</v>
      </c>
      <c r="N786">
        <v>59644.42</v>
      </c>
      <c r="O786">
        <v>19322.73</v>
      </c>
      <c r="P786" t="s">
        <v>144</v>
      </c>
      <c r="Q786">
        <v>1.3</v>
      </c>
      <c r="R786" t="s">
        <v>30</v>
      </c>
      <c r="S786" t="s">
        <v>31</v>
      </c>
      <c r="T786">
        <v>2024</v>
      </c>
    </row>
    <row r="787" spans="1:20" x14ac:dyDescent="0.3">
      <c r="A787" t="s">
        <v>1240</v>
      </c>
      <c r="B787" t="s">
        <v>60</v>
      </c>
      <c r="C787" t="s">
        <v>168</v>
      </c>
      <c r="D787" t="s">
        <v>23</v>
      </c>
      <c r="E787" t="s">
        <v>24</v>
      </c>
      <c r="F787" t="s">
        <v>45</v>
      </c>
      <c r="G787" t="s">
        <v>105</v>
      </c>
      <c r="H787" t="s">
        <v>106</v>
      </c>
      <c r="I787" t="s">
        <v>169</v>
      </c>
      <c r="J787">
        <v>1</v>
      </c>
      <c r="K787">
        <v>6767.81</v>
      </c>
      <c r="L787">
        <v>10</v>
      </c>
      <c r="M787">
        <v>6767.81</v>
      </c>
      <c r="N787">
        <v>5167.93</v>
      </c>
      <c r="O787">
        <v>1599.88</v>
      </c>
      <c r="P787" t="s">
        <v>113</v>
      </c>
      <c r="Q787">
        <v>2.1</v>
      </c>
      <c r="R787" t="s">
        <v>30</v>
      </c>
      <c r="S787" t="s">
        <v>42</v>
      </c>
      <c r="T787">
        <v>2024</v>
      </c>
    </row>
    <row r="788" spans="1:20" x14ac:dyDescent="0.3">
      <c r="A788" t="s">
        <v>1241</v>
      </c>
      <c r="B788" t="s">
        <v>625</v>
      </c>
      <c r="C788" t="s">
        <v>116</v>
      </c>
      <c r="D788" t="s">
        <v>98</v>
      </c>
      <c r="E788" t="s">
        <v>99</v>
      </c>
      <c r="F788" t="s">
        <v>45</v>
      </c>
      <c r="G788" t="s">
        <v>46</v>
      </c>
      <c r="H788" t="s">
        <v>106</v>
      </c>
      <c r="I788" t="s">
        <v>101</v>
      </c>
      <c r="J788">
        <v>5</v>
      </c>
      <c r="K788">
        <v>1011.22</v>
      </c>
      <c r="L788">
        <v>25</v>
      </c>
      <c r="M788">
        <v>5056.1000000000004</v>
      </c>
      <c r="N788">
        <v>4129.3</v>
      </c>
      <c r="O788">
        <v>926.8</v>
      </c>
      <c r="P788" t="s">
        <v>144</v>
      </c>
      <c r="Q788">
        <v>4.7</v>
      </c>
      <c r="R788" t="s">
        <v>30</v>
      </c>
      <c r="S788" t="s">
        <v>58</v>
      </c>
      <c r="T788">
        <v>2024</v>
      </c>
    </row>
    <row r="789" spans="1:20" x14ac:dyDescent="0.3">
      <c r="A789" t="s">
        <v>1242</v>
      </c>
      <c r="B789" t="s">
        <v>261</v>
      </c>
      <c r="C789" t="s">
        <v>90</v>
      </c>
      <c r="D789" t="s">
        <v>69</v>
      </c>
      <c r="E789" t="s">
        <v>155</v>
      </c>
      <c r="F789" t="s">
        <v>54</v>
      </c>
      <c r="G789" t="s">
        <v>228</v>
      </c>
      <c r="H789" t="s">
        <v>91</v>
      </c>
      <c r="I789" t="s">
        <v>118</v>
      </c>
      <c r="J789">
        <v>4</v>
      </c>
      <c r="K789">
        <v>13371.25</v>
      </c>
      <c r="L789">
        <v>30</v>
      </c>
      <c r="M789">
        <v>53485</v>
      </c>
      <c r="N789">
        <v>45364.74</v>
      </c>
      <c r="O789">
        <v>8120.26</v>
      </c>
      <c r="P789" t="s">
        <v>122</v>
      </c>
      <c r="Q789">
        <v>1.6</v>
      </c>
      <c r="R789" t="s">
        <v>30</v>
      </c>
      <c r="S789" t="s">
        <v>78</v>
      </c>
      <c r="T789">
        <v>2024</v>
      </c>
    </row>
    <row r="790" spans="1:20" x14ac:dyDescent="0.3">
      <c r="A790" t="s">
        <v>1243</v>
      </c>
      <c r="B790" t="s">
        <v>1244</v>
      </c>
      <c r="C790" t="s">
        <v>168</v>
      </c>
      <c r="D790" t="s">
        <v>81</v>
      </c>
      <c r="E790" t="s">
        <v>149</v>
      </c>
      <c r="F790" t="s">
        <v>37</v>
      </c>
      <c r="G790" t="s">
        <v>38</v>
      </c>
      <c r="H790" t="s">
        <v>39</v>
      </c>
      <c r="I790" t="s">
        <v>40</v>
      </c>
      <c r="J790">
        <v>2</v>
      </c>
      <c r="K790">
        <v>28972.11</v>
      </c>
      <c r="L790">
        <v>10</v>
      </c>
      <c r="M790">
        <v>57944.22</v>
      </c>
      <c r="N790">
        <v>40379.64</v>
      </c>
      <c r="O790">
        <v>17564.580000000002</v>
      </c>
      <c r="P790" t="s">
        <v>122</v>
      </c>
      <c r="Q790">
        <v>2.1</v>
      </c>
      <c r="R790" t="s">
        <v>30</v>
      </c>
      <c r="S790" t="s">
        <v>162</v>
      </c>
      <c r="T790">
        <v>2024</v>
      </c>
    </row>
    <row r="791" spans="1:20" x14ac:dyDescent="0.3">
      <c r="A791" t="s">
        <v>1245</v>
      </c>
      <c r="B791" t="s">
        <v>619</v>
      </c>
      <c r="C791" t="s">
        <v>80</v>
      </c>
      <c r="D791" t="s">
        <v>125</v>
      </c>
      <c r="E791" t="s">
        <v>126</v>
      </c>
      <c r="F791" t="s">
        <v>45</v>
      </c>
      <c r="G791" t="s">
        <v>105</v>
      </c>
      <c r="H791" t="s">
        <v>100</v>
      </c>
      <c r="I791" t="s">
        <v>101</v>
      </c>
      <c r="J791">
        <v>1</v>
      </c>
      <c r="K791">
        <v>17212.34</v>
      </c>
      <c r="L791">
        <v>20</v>
      </c>
      <c r="M791">
        <v>17212.34</v>
      </c>
      <c r="N791">
        <v>13373.29</v>
      </c>
      <c r="O791">
        <v>3839.05</v>
      </c>
      <c r="P791" t="s">
        <v>113</v>
      </c>
      <c r="Q791">
        <v>3.5</v>
      </c>
      <c r="R791" t="s">
        <v>30</v>
      </c>
      <c r="S791" t="s">
        <v>102</v>
      </c>
      <c r="T791">
        <v>2025</v>
      </c>
    </row>
    <row r="792" spans="1:20" x14ac:dyDescent="0.3">
      <c r="A792" t="s">
        <v>1246</v>
      </c>
      <c r="B792" t="s">
        <v>838</v>
      </c>
      <c r="C792" t="s">
        <v>97</v>
      </c>
      <c r="D792" t="s">
        <v>98</v>
      </c>
      <c r="E792" t="s">
        <v>99</v>
      </c>
      <c r="F792" t="s">
        <v>25</v>
      </c>
      <c r="G792" t="s">
        <v>26</v>
      </c>
      <c r="H792" t="s">
        <v>27</v>
      </c>
      <c r="I792" t="s">
        <v>112</v>
      </c>
      <c r="J792">
        <v>1</v>
      </c>
      <c r="K792">
        <v>48742</v>
      </c>
      <c r="L792">
        <v>10</v>
      </c>
      <c r="M792">
        <v>48742</v>
      </c>
      <c r="N792">
        <v>32977.26</v>
      </c>
      <c r="O792">
        <v>15764.74</v>
      </c>
      <c r="P792" t="s">
        <v>41</v>
      </c>
      <c r="Q792">
        <v>1.1000000000000001</v>
      </c>
      <c r="R792" t="s">
        <v>30</v>
      </c>
      <c r="S792" t="s">
        <v>31</v>
      </c>
      <c r="T792">
        <v>2024</v>
      </c>
    </row>
    <row r="793" spans="1:20" x14ac:dyDescent="0.3">
      <c r="A793" t="s">
        <v>1247</v>
      </c>
      <c r="B793" t="s">
        <v>96</v>
      </c>
      <c r="C793" t="s">
        <v>200</v>
      </c>
      <c r="D793" t="s">
        <v>69</v>
      </c>
      <c r="E793" t="s">
        <v>70</v>
      </c>
      <c r="F793" t="s">
        <v>54</v>
      </c>
      <c r="G793" t="s">
        <v>201</v>
      </c>
      <c r="H793" t="s">
        <v>117</v>
      </c>
      <c r="I793" t="s">
        <v>296</v>
      </c>
      <c r="J793">
        <v>3</v>
      </c>
      <c r="K793">
        <v>19117.36</v>
      </c>
      <c r="L793">
        <v>20</v>
      </c>
      <c r="M793">
        <v>57352.08</v>
      </c>
      <c r="N793">
        <v>48736.03</v>
      </c>
      <c r="O793">
        <v>8616.0499999999993</v>
      </c>
      <c r="P793" t="s">
        <v>113</v>
      </c>
      <c r="Q793">
        <v>1.6</v>
      </c>
      <c r="R793" t="s">
        <v>30</v>
      </c>
      <c r="S793" t="s">
        <v>102</v>
      </c>
      <c r="T793">
        <v>2025</v>
      </c>
    </row>
    <row r="794" spans="1:20" x14ac:dyDescent="0.3">
      <c r="A794" t="s">
        <v>1248</v>
      </c>
      <c r="B794" t="s">
        <v>878</v>
      </c>
      <c r="C794" t="s">
        <v>34</v>
      </c>
      <c r="D794" t="s">
        <v>23</v>
      </c>
      <c r="E794" t="s">
        <v>24</v>
      </c>
      <c r="F794" t="s">
        <v>54</v>
      </c>
      <c r="G794" t="s">
        <v>91</v>
      </c>
      <c r="H794" t="s">
        <v>92</v>
      </c>
      <c r="I794" t="s">
        <v>185</v>
      </c>
      <c r="J794">
        <v>5</v>
      </c>
      <c r="K794">
        <v>847.39</v>
      </c>
      <c r="L794">
        <v>10</v>
      </c>
      <c r="M794">
        <v>4236.95</v>
      </c>
      <c r="N794">
        <v>2790.45</v>
      </c>
      <c r="O794">
        <v>1446.5</v>
      </c>
      <c r="P794" t="s">
        <v>144</v>
      </c>
      <c r="Q794">
        <v>4</v>
      </c>
      <c r="R794" t="s">
        <v>30</v>
      </c>
      <c r="S794" t="s">
        <v>42</v>
      </c>
      <c r="T794">
        <v>2024</v>
      </c>
    </row>
    <row r="795" spans="1:20" x14ac:dyDescent="0.3">
      <c r="A795" t="s">
        <v>1249</v>
      </c>
      <c r="B795" t="s">
        <v>429</v>
      </c>
      <c r="C795" t="s">
        <v>116</v>
      </c>
      <c r="D795" t="s">
        <v>69</v>
      </c>
      <c r="E795" t="s">
        <v>70</v>
      </c>
      <c r="F795" t="s">
        <v>62</v>
      </c>
      <c r="G795" t="s">
        <v>63</v>
      </c>
      <c r="H795" t="s">
        <v>72</v>
      </c>
      <c r="I795" t="s">
        <v>65</v>
      </c>
      <c r="J795">
        <v>2</v>
      </c>
      <c r="K795">
        <v>14796.32</v>
      </c>
      <c r="L795">
        <v>15</v>
      </c>
      <c r="M795">
        <v>29592.639999999999</v>
      </c>
      <c r="N795">
        <v>21816.94</v>
      </c>
      <c r="O795">
        <v>7775.7</v>
      </c>
      <c r="P795" t="s">
        <v>73</v>
      </c>
      <c r="Q795">
        <v>1.2</v>
      </c>
      <c r="R795" t="s">
        <v>30</v>
      </c>
      <c r="S795" t="s">
        <v>58</v>
      </c>
      <c r="T795">
        <v>2024</v>
      </c>
    </row>
    <row r="796" spans="1:20" x14ac:dyDescent="0.3">
      <c r="A796" t="s">
        <v>1250</v>
      </c>
      <c r="B796" t="s">
        <v>482</v>
      </c>
      <c r="C796" t="s">
        <v>97</v>
      </c>
      <c r="D796" t="s">
        <v>69</v>
      </c>
      <c r="E796" t="s">
        <v>70</v>
      </c>
      <c r="F796" t="s">
        <v>45</v>
      </c>
      <c r="G796" t="s">
        <v>105</v>
      </c>
      <c r="H796" t="s">
        <v>47</v>
      </c>
      <c r="I796" t="s">
        <v>48</v>
      </c>
      <c r="J796">
        <v>3</v>
      </c>
      <c r="K796">
        <v>5238.33</v>
      </c>
      <c r="L796">
        <v>25</v>
      </c>
      <c r="M796">
        <v>15714.99</v>
      </c>
      <c r="N796">
        <v>11510.06</v>
      </c>
      <c r="O796">
        <v>4204.93</v>
      </c>
      <c r="P796" t="s">
        <v>73</v>
      </c>
      <c r="Q796">
        <v>1.6</v>
      </c>
      <c r="R796" t="s">
        <v>30</v>
      </c>
      <c r="S796" t="s">
        <v>74</v>
      </c>
      <c r="T796">
        <v>2024</v>
      </c>
    </row>
    <row r="797" spans="1:20" x14ac:dyDescent="0.3">
      <c r="A797" t="s">
        <v>1251</v>
      </c>
      <c r="B797" t="s">
        <v>491</v>
      </c>
      <c r="C797" t="s">
        <v>116</v>
      </c>
      <c r="D797" t="s">
        <v>81</v>
      </c>
      <c r="E797" t="s">
        <v>128</v>
      </c>
      <c r="F797" t="s">
        <v>62</v>
      </c>
      <c r="G797" t="s">
        <v>71</v>
      </c>
      <c r="H797" t="s">
        <v>72</v>
      </c>
      <c r="I797" t="s">
        <v>143</v>
      </c>
      <c r="J797">
        <v>5</v>
      </c>
      <c r="K797">
        <v>31430.94</v>
      </c>
      <c r="L797">
        <v>10</v>
      </c>
      <c r="M797">
        <v>157154.70000000001</v>
      </c>
      <c r="N797">
        <v>131135.72</v>
      </c>
      <c r="O797">
        <v>26018.98</v>
      </c>
      <c r="P797" t="s">
        <v>29</v>
      </c>
      <c r="Q797">
        <v>4.5999999999999996</v>
      </c>
      <c r="R797" t="s">
        <v>30</v>
      </c>
      <c r="S797" t="s">
        <v>58</v>
      </c>
      <c r="T797">
        <v>2024</v>
      </c>
    </row>
    <row r="798" spans="1:20" x14ac:dyDescent="0.3">
      <c r="A798" t="s">
        <v>1252</v>
      </c>
      <c r="B798" t="s">
        <v>1253</v>
      </c>
      <c r="C798" t="s">
        <v>34</v>
      </c>
      <c r="D798" t="s">
        <v>132</v>
      </c>
      <c r="E798" t="s">
        <v>133</v>
      </c>
      <c r="F798" t="s">
        <v>37</v>
      </c>
      <c r="G798" t="s">
        <v>38</v>
      </c>
      <c r="H798" t="s">
        <v>39</v>
      </c>
      <c r="I798" t="s">
        <v>40</v>
      </c>
      <c r="J798">
        <v>4</v>
      </c>
      <c r="K798">
        <v>27532.48</v>
      </c>
      <c r="L798">
        <v>15</v>
      </c>
      <c r="M798">
        <v>110129.92</v>
      </c>
      <c r="N798">
        <v>82882.03</v>
      </c>
      <c r="O798">
        <v>27247.89</v>
      </c>
      <c r="P798" t="s">
        <v>41</v>
      </c>
      <c r="Q798">
        <v>2.2000000000000002</v>
      </c>
      <c r="R798" t="s">
        <v>30</v>
      </c>
      <c r="S798" t="s">
        <v>107</v>
      </c>
      <c r="T798">
        <v>2024</v>
      </c>
    </row>
    <row r="799" spans="1:20" x14ac:dyDescent="0.3">
      <c r="A799" t="s">
        <v>1254</v>
      </c>
      <c r="B799" t="s">
        <v>404</v>
      </c>
      <c r="C799" t="s">
        <v>80</v>
      </c>
      <c r="D799" t="s">
        <v>132</v>
      </c>
      <c r="E799" t="s">
        <v>133</v>
      </c>
      <c r="F799" t="s">
        <v>37</v>
      </c>
      <c r="G799" t="s">
        <v>38</v>
      </c>
      <c r="H799" t="s">
        <v>39</v>
      </c>
      <c r="I799" t="s">
        <v>40</v>
      </c>
      <c r="J799">
        <v>3</v>
      </c>
      <c r="K799">
        <v>41121.949999999997</v>
      </c>
      <c r="L799">
        <v>20</v>
      </c>
      <c r="M799">
        <v>123365.85</v>
      </c>
      <c r="N799">
        <v>96539.54</v>
      </c>
      <c r="O799">
        <v>26826.31</v>
      </c>
      <c r="P799" t="s">
        <v>113</v>
      </c>
      <c r="Q799">
        <v>1.4</v>
      </c>
      <c r="R799" t="s">
        <v>30</v>
      </c>
      <c r="S799" t="s">
        <v>102</v>
      </c>
      <c r="T799">
        <v>2024</v>
      </c>
    </row>
    <row r="800" spans="1:20" x14ac:dyDescent="0.3">
      <c r="A800" t="s">
        <v>1255</v>
      </c>
      <c r="B800" t="s">
        <v>822</v>
      </c>
      <c r="C800" t="s">
        <v>61</v>
      </c>
      <c r="D800" t="s">
        <v>69</v>
      </c>
      <c r="E800" t="s">
        <v>155</v>
      </c>
      <c r="F800" t="s">
        <v>54</v>
      </c>
      <c r="G800" t="s">
        <v>201</v>
      </c>
      <c r="H800" t="s">
        <v>179</v>
      </c>
      <c r="I800" t="s">
        <v>57</v>
      </c>
      <c r="J800">
        <v>2</v>
      </c>
      <c r="K800">
        <v>12944.89</v>
      </c>
      <c r="L800">
        <v>5</v>
      </c>
      <c r="M800">
        <v>25889.78</v>
      </c>
      <c r="N800">
        <v>21426.05</v>
      </c>
      <c r="O800">
        <v>4463.7299999999996</v>
      </c>
      <c r="P800" t="s">
        <v>113</v>
      </c>
      <c r="Q800">
        <v>1.9</v>
      </c>
      <c r="R800" t="s">
        <v>30</v>
      </c>
      <c r="S800" t="s">
        <v>107</v>
      </c>
      <c r="T800">
        <v>2024</v>
      </c>
    </row>
    <row r="801" spans="1:20" x14ac:dyDescent="0.3">
      <c r="A801" t="s">
        <v>1256</v>
      </c>
      <c r="B801" t="s">
        <v>529</v>
      </c>
      <c r="C801" t="s">
        <v>136</v>
      </c>
      <c r="D801" t="s">
        <v>69</v>
      </c>
      <c r="E801" t="s">
        <v>70</v>
      </c>
      <c r="F801" t="s">
        <v>37</v>
      </c>
      <c r="G801" t="s">
        <v>38</v>
      </c>
      <c r="H801" t="s">
        <v>140</v>
      </c>
      <c r="I801" t="s">
        <v>40</v>
      </c>
      <c r="J801">
        <v>5</v>
      </c>
      <c r="K801">
        <v>4729.04</v>
      </c>
      <c r="L801">
        <v>25</v>
      </c>
      <c r="M801">
        <v>23645.200000000001</v>
      </c>
      <c r="N801">
        <v>17945.36</v>
      </c>
      <c r="O801">
        <v>5699.84</v>
      </c>
      <c r="P801" t="s">
        <v>113</v>
      </c>
      <c r="Q801">
        <v>4</v>
      </c>
      <c r="R801" t="s">
        <v>159</v>
      </c>
      <c r="S801" t="s">
        <v>31</v>
      </c>
      <c r="T801">
        <v>2024</v>
      </c>
    </row>
    <row r="802" spans="1:20" x14ac:dyDescent="0.3">
      <c r="A802" t="s">
        <v>1257</v>
      </c>
      <c r="B802" t="s">
        <v>33</v>
      </c>
      <c r="C802" t="s">
        <v>61</v>
      </c>
      <c r="D802" t="s">
        <v>35</v>
      </c>
      <c r="E802" t="s">
        <v>36</v>
      </c>
      <c r="F802" t="s">
        <v>45</v>
      </c>
      <c r="G802" t="s">
        <v>105</v>
      </c>
      <c r="H802" t="s">
        <v>106</v>
      </c>
      <c r="I802" t="s">
        <v>101</v>
      </c>
      <c r="J802">
        <v>2</v>
      </c>
      <c r="K802">
        <v>31512.97</v>
      </c>
      <c r="L802">
        <v>15</v>
      </c>
      <c r="M802">
        <v>63025.94</v>
      </c>
      <c r="N802">
        <v>48100.95</v>
      </c>
      <c r="O802">
        <v>14924.99</v>
      </c>
      <c r="P802" t="s">
        <v>113</v>
      </c>
      <c r="Q802">
        <v>2.1</v>
      </c>
      <c r="R802" t="s">
        <v>30</v>
      </c>
      <c r="S802" t="s">
        <v>42</v>
      </c>
      <c r="T802">
        <v>2024</v>
      </c>
    </row>
    <row r="803" spans="1:20" x14ac:dyDescent="0.3">
      <c r="A803" t="s">
        <v>1258</v>
      </c>
      <c r="B803" t="s">
        <v>51</v>
      </c>
      <c r="C803" t="s">
        <v>97</v>
      </c>
      <c r="D803" t="s">
        <v>98</v>
      </c>
      <c r="E803" t="s">
        <v>99</v>
      </c>
      <c r="F803" t="s">
        <v>54</v>
      </c>
      <c r="G803" t="s">
        <v>91</v>
      </c>
      <c r="H803" t="s">
        <v>56</v>
      </c>
      <c r="I803" t="s">
        <v>180</v>
      </c>
      <c r="J803">
        <v>3</v>
      </c>
      <c r="K803">
        <v>46891.65</v>
      </c>
      <c r="L803">
        <v>25</v>
      </c>
      <c r="M803">
        <v>140674.95000000001</v>
      </c>
      <c r="N803">
        <v>97969.19</v>
      </c>
      <c r="O803">
        <v>42705.760000000002</v>
      </c>
      <c r="P803" t="s">
        <v>144</v>
      </c>
      <c r="Q803">
        <v>2.9</v>
      </c>
      <c r="R803" t="s">
        <v>30</v>
      </c>
      <c r="S803" t="s">
        <v>58</v>
      </c>
      <c r="T803">
        <v>2024</v>
      </c>
    </row>
    <row r="804" spans="1:20" x14ac:dyDescent="0.3">
      <c r="A804" t="s">
        <v>1259</v>
      </c>
      <c r="B804" t="s">
        <v>977</v>
      </c>
      <c r="C804" t="s">
        <v>200</v>
      </c>
      <c r="D804" t="s">
        <v>81</v>
      </c>
      <c r="E804" t="s">
        <v>149</v>
      </c>
      <c r="F804" t="s">
        <v>37</v>
      </c>
      <c r="G804" t="s">
        <v>38</v>
      </c>
      <c r="H804" t="s">
        <v>327</v>
      </c>
      <c r="I804" t="s">
        <v>40</v>
      </c>
      <c r="J804">
        <v>2</v>
      </c>
      <c r="K804">
        <v>34137.79</v>
      </c>
      <c r="L804">
        <v>10</v>
      </c>
      <c r="M804">
        <v>68275.58</v>
      </c>
      <c r="N804">
        <v>52263.63</v>
      </c>
      <c r="O804">
        <v>16011.95</v>
      </c>
      <c r="P804" t="s">
        <v>144</v>
      </c>
      <c r="Q804">
        <v>1.8</v>
      </c>
      <c r="R804" t="s">
        <v>30</v>
      </c>
      <c r="S804" t="s">
        <v>31</v>
      </c>
      <c r="T804">
        <v>2024</v>
      </c>
    </row>
    <row r="805" spans="1:20" x14ac:dyDescent="0.3">
      <c r="A805" t="s">
        <v>1260</v>
      </c>
      <c r="B805" t="s">
        <v>335</v>
      </c>
      <c r="C805" t="s">
        <v>168</v>
      </c>
      <c r="D805" t="s">
        <v>81</v>
      </c>
      <c r="E805" t="s">
        <v>82</v>
      </c>
      <c r="F805" t="s">
        <v>62</v>
      </c>
      <c r="G805" t="s">
        <v>63</v>
      </c>
      <c r="H805" t="s">
        <v>83</v>
      </c>
      <c r="I805" t="s">
        <v>143</v>
      </c>
      <c r="J805">
        <v>4</v>
      </c>
      <c r="K805">
        <v>41000.910000000003</v>
      </c>
      <c r="L805">
        <v>15</v>
      </c>
      <c r="M805">
        <v>164003.64000000001</v>
      </c>
      <c r="N805">
        <v>125853.29</v>
      </c>
      <c r="O805">
        <v>38150.35</v>
      </c>
      <c r="P805" t="s">
        <v>41</v>
      </c>
      <c r="Q805">
        <v>4.5</v>
      </c>
      <c r="R805" t="s">
        <v>30</v>
      </c>
      <c r="S805" t="s">
        <v>31</v>
      </c>
      <c r="T805">
        <v>2024</v>
      </c>
    </row>
    <row r="806" spans="1:20" x14ac:dyDescent="0.3">
      <c r="A806" t="s">
        <v>1261</v>
      </c>
      <c r="B806" t="s">
        <v>822</v>
      </c>
      <c r="C806" t="s">
        <v>136</v>
      </c>
      <c r="D806" t="s">
        <v>35</v>
      </c>
      <c r="E806" t="s">
        <v>36</v>
      </c>
      <c r="F806" t="s">
        <v>54</v>
      </c>
      <c r="G806" t="s">
        <v>55</v>
      </c>
      <c r="H806" t="s">
        <v>179</v>
      </c>
      <c r="I806" t="s">
        <v>185</v>
      </c>
      <c r="J806">
        <v>4</v>
      </c>
      <c r="K806">
        <v>7672.34</v>
      </c>
      <c r="L806">
        <v>10</v>
      </c>
      <c r="M806">
        <v>30689.360000000001</v>
      </c>
      <c r="N806">
        <v>25226.76</v>
      </c>
      <c r="O806">
        <v>5462.6</v>
      </c>
      <c r="P806" t="s">
        <v>41</v>
      </c>
      <c r="Q806">
        <v>1.1000000000000001</v>
      </c>
      <c r="R806" t="s">
        <v>30</v>
      </c>
      <c r="S806" t="s">
        <v>107</v>
      </c>
      <c r="T806">
        <v>2024</v>
      </c>
    </row>
    <row r="807" spans="1:20" x14ac:dyDescent="0.3">
      <c r="A807" t="s">
        <v>1262</v>
      </c>
      <c r="B807" t="s">
        <v>813</v>
      </c>
      <c r="C807" t="s">
        <v>200</v>
      </c>
      <c r="D807" t="s">
        <v>125</v>
      </c>
      <c r="E807" t="s">
        <v>126</v>
      </c>
      <c r="F807" t="s">
        <v>25</v>
      </c>
      <c r="G807" t="s">
        <v>111</v>
      </c>
      <c r="H807" t="s">
        <v>27</v>
      </c>
      <c r="I807" t="s">
        <v>28</v>
      </c>
      <c r="J807">
        <v>3</v>
      </c>
      <c r="K807">
        <v>25186.79</v>
      </c>
      <c r="L807">
        <v>30</v>
      </c>
      <c r="M807">
        <v>75560.37</v>
      </c>
      <c r="N807">
        <v>58153.45</v>
      </c>
      <c r="O807">
        <v>17406.919999999998</v>
      </c>
      <c r="P807" t="s">
        <v>113</v>
      </c>
      <c r="Q807">
        <v>3.8</v>
      </c>
      <c r="R807" t="s">
        <v>30</v>
      </c>
      <c r="S807" t="s">
        <v>102</v>
      </c>
      <c r="T807">
        <v>2024</v>
      </c>
    </row>
    <row r="808" spans="1:20" x14ac:dyDescent="0.3">
      <c r="A808" t="s">
        <v>1263</v>
      </c>
      <c r="B808" t="s">
        <v>1264</v>
      </c>
      <c r="C808" t="s">
        <v>34</v>
      </c>
      <c r="D808" t="s">
        <v>98</v>
      </c>
      <c r="E808" t="s">
        <v>99</v>
      </c>
      <c r="F808" t="s">
        <v>45</v>
      </c>
      <c r="G808" t="s">
        <v>105</v>
      </c>
      <c r="H808" t="s">
        <v>188</v>
      </c>
      <c r="I808" t="s">
        <v>169</v>
      </c>
      <c r="J808">
        <v>1</v>
      </c>
      <c r="K808">
        <v>41285.25</v>
      </c>
      <c r="L808">
        <v>20</v>
      </c>
      <c r="M808">
        <v>41285.25</v>
      </c>
      <c r="N808">
        <v>31633.95</v>
      </c>
      <c r="O808">
        <v>9651.2999999999993</v>
      </c>
      <c r="P808" t="s">
        <v>113</v>
      </c>
      <c r="Q808">
        <v>1.8</v>
      </c>
      <c r="R808" t="s">
        <v>30</v>
      </c>
      <c r="S808" t="s">
        <v>42</v>
      </c>
      <c r="T808">
        <v>2024</v>
      </c>
    </row>
    <row r="809" spans="1:20" x14ac:dyDescent="0.3">
      <c r="A809" t="s">
        <v>1265</v>
      </c>
      <c r="B809" t="s">
        <v>1253</v>
      </c>
      <c r="C809" t="s">
        <v>200</v>
      </c>
      <c r="D809" t="s">
        <v>69</v>
      </c>
      <c r="E809" t="s">
        <v>155</v>
      </c>
      <c r="F809" t="s">
        <v>45</v>
      </c>
      <c r="G809" t="s">
        <v>46</v>
      </c>
      <c r="H809" t="s">
        <v>188</v>
      </c>
      <c r="I809" t="s">
        <v>169</v>
      </c>
      <c r="J809">
        <v>2</v>
      </c>
      <c r="K809">
        <v>30435.75</v>
      </c>
      <c r="L809">
        <v>20</v>
      </c>
      <c r="M809">
        <v>60871.5</v>
      </c>
      <c r="N809">
        <v>46723</v>
      </c>
      <c r="O809">
        <v>14148.5</v>
      </c>
      <c r="P809" t="s">
        <v>122</v>
      </c>
      <c r="Q809">
        <v>3.1</v>
      </c>
      <c r="R809" t="s">
        <v>30</v>
      </c>
      <c r="S809" t="s">
        <v>107</v>
      </c>
      <c r="T809">
        <v>2024</v>
      </c>
    </row>
    <row r="810" spans="1:20" x14ac:dyDescent="0.3">
      <c r="A810" t="s">
        <v>1266</v>
      </c>
      <c r="B810" t="s">
        <v>248</v>
      </c>
      <c r="C810" t="s">
        <v>97</v>
      </c>
      <c r="D810" t="s">
        <v>98</v>
      </c>
      <c r="E810" t="s">
        <v>99</v>
      </c>
      <c r="F810" t="s">
        <v>54</v>
      </c>
      <c r="G810" t="s">
        <v>228</v>
      </c>
      <c r="H810" t="s">
        <v>179</v>
      </c>
      <c r="I810" t="s">
        <v>118</v>
      </c>
      <c r="J810">
        <v>5</v>
      </c>
      <c r="K810">
        <v>45786.559999999998</v>
      </c>
      <c r="L810">
        <v>15</v>
      </c>
      <c r="M810">
        <v>228932.8</v>
      </c>
      <c r="N810">
        <v>168217.60000000001</v>
      </c>
      <c r="O810">
        <v>60715.199999999997</v>
      </c>
      <c r="P810" t="s">
        <v>73</v>
      </c>
      <c r="Q810">
        <v>1.4</v>
      </c>
      <c r="R810" t="s">
        <v>30</v>
      </c>
      <c r="S810" t="s">
        <v>42</v>
      </c>
      <c r="T810">
        <v>2024</v>
      </c>
    </row>
    <row r="811" spans="1:20" x14ac:dyDescent="0.3">
      <c r="A811" t="s">
        <v>1267</v>
      </c>
      <c r="B811" t="s">
        <v>591</v>
      </c>
      <c r="C811" t="s">
        <v>61</v>
      </c>
      <c r="D811" t="s">
        <v>132</v>
      </c>
      <c r="E811" t="s">
        <v>158</v>
      </c>
      <c r="F811" t="s">
        <v>25</v>
      </c>
      <c r="G811" t="s">
        <v>111</v>
      </c>
      <c r="H811" t="s">
        <v>221</v>
      </c>
      <c r="I811" t="s">
        <v>112</v>
      </c>
      <c r="J811">
        <v>3</v>
      </c>
      <c r="K811">
        <v>26700.19</v>
      </c>
      <c r="L811">
        <v>25</v>
      </c>
      <c r="M811">
        <v>80100.570000000007</v>
      </c>
      <c r="N811">
        <v>63365.69</v>
      </c>
      <c r="O811">
        <v>16734.88</v>
      </c>
      <c r="P811" t="s">
        <v>113</v>
      </c>
      <c r="Q811">
        <v>1.5</v>
      </c>
      <c r="R811" t="s">
        <v>30</v>
      </c>
      <c r="S811" t="s">
        <v>94</v>
      </c>
      <c r="T811">
        <v>2024</v>
      </c>
    </row>
    <row r="812" spans="1:20" x14ac:dyDescent="0.3">
      <c r="A812" t="s">
        <v>1268</v>
      </c>
      <c r="B812" t="s">
        <v>749</v>
      </c>
      <c r="C812" t="s">
        <v>97</v>
      </c>
      <c r="D812" t="s">
        <v>125</v>
      </c>
      <c r="E812" t="s">
        <v>126</v>
      </c>
      <c r="F812" t="s">
        <v>37</v>
      </c>
      <c r="G812" t="s">
        <v>38</v>
      </c>
      <c r="H812" t="s">
        <v>77</v>
      </c>
      <c r="I812" t="s">
        <v>40</v>
      </c>
      <c r="J812">
        <v>3</v>
      </c>
      <c r="K812">
        <v>27367.02</v>
      </c>
      <c r="L812">
        <v>25</v>
      </c>
      <c r="M812">
        <v>82101.06</v>
      </c>
      <c r="N812">
        <v>69331.03</v>
      </c>
      <c r="O812">
        <v>12770.03</v>
      </c>
      <c r="P812" t="s">
        <v>73</v>
      </c>
      <c r="Q812">
        <v>1.4</v>
      </c>
      <c r="R812" t="s">
        <v>30</v>
      </c>
      <c r="S812" t="s">
        <v>78</v>
      </c>
      <c r="T812">
        <v>2024</v>
      </c>
    </row>
    <row r="813" spans="1:20" x14ac:dyDescent="0.3">
      <c r="A813" t="s">
        <v>1269</v>
      </c>
      <c r="B813" t="s">
        <v>356</v>
      </c>
      <c r="C813" t="s">
        <v>34</v>
      </c>
      <c r="D813" t="s">
        <v>81</v>
      </c>
      <c r="E813" t="s">
        <v>82</v>
      </c>
      <c r="F813" t="s">
        <v>54</v>
      </c>
      <c r="G813" t="s">
        <v>91</v>
      </c>
      <c r="H813" t="s">
        <v>92</v>
      </c>
      <c r="I813" t="s">
        <v>118</v>
      </c>
      <c r="J813">
        <v>3</v>
      </c>
      <c r="K813">
        <v>17213.3</v>
      </c>
      <c r="L813">
        <v>10</v>
      </c>
      <c r="M813">
        <v>51639.9</v>
      </c>
      <c r="N813">
        <v>37363.75</v>
      </c>
      <c r="O813">
        <v>14276.15</v>
      </c>
      <c r="P813" t="s">
        <v>144</v>
      </c>
      <c r="Q813">
        <v>1.7</v>
      </c>
      <c r="R813" t="s">
        <v>30</v>
      </c>
      <c r="S813" t="s">
        <v>107</v>
      </c>
      <c r="T813">
        <v>2024</v>
      </c>
    </row>
    <row r="814" spans="1:20" x14ac:dyDescent="0.3">
      <c r="A814" t="s">
        <v>1270</v>
      </c>
      <c r="B814" t="s">
        <v>253</v>
      </c>
      <c r="C814" t="s">
        <v>22</v>
      </c>
      <c r="D814" t="s">
        <v>69</v>
      </c>
      <c r="E814" t="s">
        <v>155</v>
      </c>
      <c r="F814" t="s">
        <v>62</v>
      </c>
      <c r="G814" t="s">
        <v>63</v>
      </c>
      <c r="H814" t="s">
        <v>72</v>
      </c>
      <c r="I814" t="s">
        <v>143</v>
      </c>
      <c r="J814">
        <v>5</v>
      </c>
      <c r="K814">
        <v>4084.62</v>
      </c>
      <c r="L814">
        <v>5</v>
      </c>
      <c r="M814">
        <v>20423.099999999999</v>
      </c>
      <c r="N814">
        <v>13322.75</v>
      </c>
      <c r="O814">
        <v>7100.35</v>
      </c>
      <c r="P814" t="s">
        <v>41</v>
      </c>
      <c r="Q814">
        <v>4.3</v>
      </c>
      <c r="R814" t="s">
        <v>159</v>
      </c>
      <c r="S814" t="s">
        <v>102</v>
      </c>
      <c r="T814">
        <v>2024</v>
      </c>
    </row>
    <row r="815" spans="1:20" x14ac:dyDescent="0.3">
      <c r="A815" t="s">
        <v>1271</v>
      </c>
      <c r="B815" t="s">
        <v>759</v>
      </c>
      <c r="C815" t="s">
        <v>22</v>
      </c>
      <c r="D815" t="s">
        <v>52</v>
      </c>
      <c r="E815" t="s">
        <v>53</v>
      </c>
      <c r="F815" t="s">
        <v>62</v>
      </c>
      <c r="G815" t="s">
        <v>63</v>
      </c>
      <c r="H815" t="s">
        <v>83</v>
      </c>
      <c r="I815" t="s">
        <v>165</v>
      </c>
      <c r="J815">
        <v>4</v>
      </c>
      <c r="K815">
        <v>9213.5499999999993</v>
      </c>
      <c r="L815">
        <v>25</v>
      </c>
      <c r="M815">
        <v>36854.199999999997</v>
      </c>
      <c r="N815">
        <v>30798.33</v>
      </c>
      <c r="O815">
        <v>6055.87</v>
      </c>
      <c r="P815" t="s">
        <v>113</v>
      </c>
      <c r="Q815">
        <v>2.5</v>
      </c>
      <c r="R815" t="s">
        <v>30</v>
      </c>
      <c r="S815" t="s">
        <v>78</v>
      </c>
      <c r="T815">
        <v>2024</v>
      </c>
    </row>
    <row r="816" spans="1:20" x14ac:dyDescent="0.3">
      <c r="A816" t="s">
        <v>1272</v>
      </c>
      <c r="B816" t="s">
        <v>683</v>
      </c>
      <c r="C816" t="s">
        <v>80</v>
      </c>
      <c r="D816" t="s">
        <v>52</v>
      </c>
      <c r="E816" t="s">
        <v>53</v>
      </c>
      <c r="F816" t="s">
        <v>37</v>
      </c>
      <c r="G816" t="s">
        <v>38</v>
      </c>
      <c r="H816" t="s">
        <v>140</v>
      </c>
      <c r="I816" t="s">
        <v>40</v>
      </c>
      <c r="J816">
        <v>4</v>
      </c>
      <c r="K816">
        <v>6114.55</v>
      </c>
      <c r="L816">
        <v>5</v>
      </c>
      <c r="M816">
        <v>24458.2</v>
      </c>
      <c r="N816">
        <v>18983.099999999999</v>
      </c>
      <c r="O816">
        <v>5475.1</v>
      </c>
      <c r="P816" t="s">
        <v>29</v>
      </c>
      <c r="Q816">
        <v>3.7</v>
      </c>
      <c r="R816" t="s">
        <v>159</v>
      </c>
      <c r="S816" t="s">
        <v>162</v>
      </c>
      <c r="T816">
        <v>2024</v>
      </c>
    </row>
    <row r="817" spans="1:20" x14ac:dyDescent="0.3">
      <c r="A817" t="s">
        <v>1273</v>
      </c>
      <c r="B817" t="s">
        <v>1253</v>
      </c>
      <c r="C817" t="s">
        <v>97</v>
      </c>
      <c r="D817" t="s">
        <v>98</v>
      </c>
      <c r="E817" t="s">
        <v>99</v>
      </c>
      <c r="F817" t="s">
        <v>25</v>
      </c>
      <c r="G817" t="s">
        <v>26</v>
      </c>
      <c r="H817" t="s">
        <v>121</v>
      </c>
      <c r="I817" t="s">
        <v>112</v>
      </c>
      <c r="J817">
        <v>4</v>
      </c>
      <c r="K817">
        <v>21670.52</v>
      </c>
      <c r="L817">
        <v>25</v>
      </c>
      <c r="M817">
        <v>86682.08</v>
      </c>
      <c r="N817">
        <v>59036.23</v>
      </c>
      <c r="O817">
        <v>27645.85</v>
      </c>
      <c r="P817" t="s">
        <v>113</v>
      </c>
      <c r="Q817">
        <v>4.5999999999999996</v>
      </c>
      <c r="R817" t="s">
        <v>30</v>
      </c>
      <c r="S817" t="s">
        <v>107</v>
      </c>
      <c r="T817">
        <v>2024</v>
      </c>
    </row>
    <row r="818" spans="1:20" x14ac:dyDescent="0.3">
      <c r="A818" t="s">
        <v>1274</v>
      </c>
      <c r="B818" t="s">
        <v>921</v>
      </c>
      <c r="C818" t="s">
        <v>61</v>
      </c>
      <c r="D818" t="s">
        <v>52</v>
      </c>
      <c r="E818" t="s">
        <v>53</v>
      </c>
      <c r="F818" t="s">
        <v>45</v>
      </c>
      <c r="G818" t="s">
        <v>46</v>
      </c>
      <c r="H818" t="s">
        <v>47</v>
      </c>
      <c r="I818" t="s">
        <v>48</v>
      </c>
      <c r="J818">
        <v>4</v>
      </c>
      <c r="K818">
        <v>37528.53</v>
      </c>
      <c r="L818">
        <v>5</v>
      </c>
      <c r="M818">
        <v>150114.12</v>
      </c>
      <c r="N818">
        <v>111068</v>
      </c>
      <c r="O818">
        <v>39046.120000000003</v>
      </c>
      <c r="P818" t="s">
        <v>41</v>
      </c>
      <c r="Q818">
        <v>1.6</v>
      </c>
      <c r="R818" t="s">
        <v>30</v>
      </c>
      <c r="S818" t="s">
        <v>87</v>
      </c>
      <c r="T818">
        <v>2025</v>
      </c>
    </row>
    <row r="819" spans="1:20" x14ac:dyDescent="0.3">
      <c r="A819" t="s">
        <v>1275</v>
      </c>
      <c r="B819" t="s">
        <v>423</v>
      </c>
      <c r="C819" t="s">
        <v>200</v>
      </c>
      <c r="D819" t="s">
        <v>52</v>
      </c>
      <c r="E819" t="s">
        <v>110</v>
      </c>
      <c r="F819" t="s">
        <v>54</v>
      </c>
      <c r="G819" t="s">
        <v>201</v>
      </c>
      <c r="H819" t="s">
        <v>117</v>
      </c>
      <c r="I819" t="s">
        <v>57</v>
      </c>
      <c r="J819">
        <v>5</v>
      </c>
      <c r="K819">
        <v>46526.93</v>
      </c>
      <c r="L819">
        <v>30</v>
      </c>
      <c r="M819">
        <v>232634.65</v>
      </c>
      <c r="N819">
        <v>159871.4</v>
      </c>
      <c r="O819">
        <v>72763.25</v>
      </c>
      <c r="P819" t="s">
        <v>144</v>
      </c>
      <c r="Q819">
        <v>2.2000000000000002</v>
      </c>
      <c r="R819" t="s">
        <v>30</v>
      </c>
      <c r="S819" t="s">
        <v>42</v>
      </c>
      <c r="T819">
        <v>2024</v>
      </c>
    </row>
    <row r="820" spans="1:20" x14ac:dyDescent="0.3">
      <c r="A820" t="s">
        <v>1276</v>
      </c>
      <c r="B820" t="s">
        <v>89</v>
      </c>
      <c r="C820" t="s">
        <v>22</v>
      </c>
      <c r="D820" t="s">
        <v>98</v>
      </c>
      <c r="E820" t="s">
        <v>99</v>
      </c>
      <c r="F820" t="s">
        <v>25</v>
      </c>
      <c r="G820" t="s">
        <v>111</v>
      </c>
      <c r="H820" t="s">
        <v>235</v>
      </c>
      <c r="I820" t="s">
        <v>112</v>
      </c>
      <c r="J820">
        <v>2</v>
      </c>
      <c r="K820">
        <v>4042.56</v>
      </c>
      <c r="L820">
        <v>30</v>
      </c>
      <c r="M820">
        <v>8085.12</v>
      </c>
      <c r="N820">
        <v>5304.04</v>
      </c>
      <c r="O820">
        <v>2781.08</v>
      </c>
      <c r="P820" t="s">
        <v>29</v>
      </c>
      <c r="Q820">
        <v>3.7</v>
      </c>
      <c r="R820" t="s">
        <v>30</v>
      </c>
      <c r="S820" t="s">
        <v>94</v>
      </c>
      <c r="T820">
        <v>2024</v>
      </c>
    </row>
    <row r="821" spans="1:20" x14ac:dyDescent="0.3">
      <c r="A821" t="s">
        <v>1277</v>
      </c>
      <c r="B821" t="s">
        <v>337</v>
      </c>
      <c r="C821" t="s">
        <v>168</v>
      </c>
      <c r="D821" t="s">
        <v>81</v>
      </c>
      <c r="E821" t="s">
        <v>82</v>
      </c>
      <c r="F821" t="s">
        <v>62</v>
      </c>
      <c r="G821" t="s">
        <v>63</v>
      </c>
      <c r="H821" t="s">
        <v>64</v>
      </c>
      <c r="I821" t="s">
        <v>165</v>
      </c>
      <c r="J821">
        <v>1</v>
      </c>
      <c r="K821">
        <v>35777.51</v>
      </c>
      <c r="L821">
        <v>20</v>
      </c>
      <c r="M821">
        <v>35777.51</v>
      </c>
      <c r="N821">
        <v>24650.39</v>
      </c>
      <c r="O821">
        <v>11127.12</v>
      </c>
      <c r="P821" t="s">
        <v>144</v>
      </c>
      <c r="Q821">
        <v>3.2</v>
      </c>
      <c r="R821" t="s">
        <v>30</v>
      </c>
      <c r="S821" t="s">
        <v>42</v>
      </c>
      <c r="T821">
        <v>2024</v>
      </c>
    </row>
    <row r="822" spans="1:20" x14ac:dyDescent="0.3">
      <c r="A822" t="s">
        <v>1278</v>
      </c>
      <c r="B822" t="s">
        <v>313</v>
      </c>
      <c r="C822" t="s">
        <v>168</v>
      </c>
      <c r="D822" t="s">
        <v>23</v>
      </c>
      <c r="E822" t="s">
        <v>24</v>
      </c>
      <c r="F822" t="s">
        <v>62</v>
      </c>
      <c r="G822" t="s">
        <v>63</v>
      </c>
      <c r="H822" t="s">
        <v>152</v>
      </c>
      <c r="I822" t="s">
        <v>143</v>
      </c>
      <c r="J822">
        <v>2</v>
      </c>
      <c r="K822">
        <v>4160.5200000000004</v>
      </c>
      <c r="L822">
        <v>30</v>
      </c>
      <c r="M822">
        <v>8321.0400000000009</v>
      </c>
      <c r="N822">
        <v>5463.47</v>
      </c>
      <c r="O822">
        <v>2857.57</v>
      </c>
      <c r="P822" t="s">
        <v>144</v>
      </c>
      <c r="Q822">
        <v>3.8</v>
      </c>
      <c r="R822" t="s">
        <v>30</v>
      </c>
      <c r="S822" t="s">
        <v>42</v>
      </c>
      <c r="T822">
        <v>2024</v>
      </c>
    </row>
    <row r="823" spans="1:20" x14ac:dyDescent="0.3">
      <c r="A823" t="s">
        <v>1279</v>
      </c>
      <c r="B823" t="s">
        <v>366</v>
      </c>
      <c r="C823" t="s">
        <v>90</v>
      </c>
      <c r="D823" t="s">
        <v>125</v>
      </c>
      <c r="E823" t="s">
        <v>126</v>
      </c>
      <c r="F823" t="s">
        <v>54</v>
      </c>
      <c r="G823" t="s">
        <v>91</v>
      </c>
      <c r="H823" t="s">
        <v>179</v>
      </c>
      <c r="I823" t="s">
        <v>185</v>
      </c>
      <c r="J823">
        <v>3</v>
      </c>
      <c r="K823">
        <v>20754.919999999998</v>
      </c>
      <c r="L823">
        <v>20</v>
      </c>
      <c r="M823">
        <v>62264.76</v>
      </c>
      <c r="N823">
        <v>46930.31</v>
      </c>
      <c r="O823">
        <v>15334.45</v>
      </c>
      <c r="P823" t="s">
        <v>29</v>
      </c>
      <c r="Q823">
        <v>1.9</v>
      </c>
      <c r="R823" t="s">
        <v>30</v>
      </c>
      <c r="S823" t="s">
        <v>162</v>
      </c>
      <c r="T823">
        <v>2024</v>
      </c>
    </row>
    <row r="824" spans="1:20" x14ac:dyDescent="0.3">
      <c r="A824" t="s">
        <v>1280</v>
      </c>
      <c r="B824" t="s">
        <v>461</v>
      </c>
      <c r="C824" t="s">
        <v>34</v>
      </c>
      <c r="D824" t="s">
        <v>52</v>
      </c>
      <c r="E824" t="s">
        <v>110</v>
      </c>
      <c r="F824" t="s">
        <v>25</v>
      </c>
      <c r="G824" t="s">
        <v>111</v>
      </c>
      <c r="H824" t="s">
        <v>121</v>
      </c>
      <c r="I824" t="s">
        <v>28</v>
      </c>
      <c r="J824">
        <v>2</v>
      </c>
      <c r="K824">
        <v>34460.43</v>
      </c>
      <c r="L824">
        <v>5</v>
      </c>
      <c r="M824">
        <v>68920.86</v>
      </c>
      <c r="N824">
        <v>48941.83</v>
      </c>
      <c r="O824">
        <v>19979.03</v>
      </c>
      <c r="P824" t="s">
        <v>113</v>
      </c>
      <c r="Q824">
        <v>4.5999999999999996</v>
      </c>
      <c r="R824" t="s">
        <v>30</v>
      </c>
      <c r="S824" t="s">
        <v>94</v>
      </c>
      <c r="T824">
        <v>2024</v>
      </c>
    </row>
    <row r="825" spans="1:20" x14ac:dyDescent="0.3">
      <c r="A825" t="s">
        <v>1281</v>
      </c>
      <c r="B825" t="s">
        <v>813</v>
      </c>
      <c r="C825" t="s">
        <v>90</v>
      </c>
      <c r="D825" t="s">
        <v>69</v>
      </c>
      <c r="E825" t="s">
        <v>155</v>
      </c>
      <c r="F825" t="s">
        <v>62</v>
      </c>
      <c r="G825" t="s">
        <v>63</v>
      </c>
      <c r="H825" t="s">
        <v>83</v>
      </c>
      <c r="I825" t="s">
        <v>143</v>
      </c>
      <c r="J825">
        <v>5</v>
      </c>
      <c r="K825">
        <v>22835.78</v>
      </c>
      <c r="L825">
        <v>10</v>
      </c>
      <c r="M825">
        <v>114178.9</v>
      </c>
      <c r="N825">
        <v>78386.89</v>
      </c>
      <c r="O825">
        <v>35792.01</v>
      </c>
      <c r="P825" t="s">
        <v>73</v>
      </c>
      <c r="Q825">
        <v>4.0999999999999996</v>
      </c>
      <c r="R825" t="s">
        <v>30</v>
      </c>
      <c r="S825" t="s">
        <v>102</v>
      </c>
      <c r="T825">
        <v>2024</v>
      </c>
    </row>
    <row r="826" spans="1:20" x14ac:dyDescent="0.3">
      <c r="A826" t="s">
        <v>1282</v>
      </c>
      <c r="B826" t="s">
        <v>484</v>
      </c>
      <c r="C826" t="s">
        <v>97</v>
      </c>
      <c r="D826" t="s">
        <v>23</v>
      </c>
      <c r="E826" t="s">
        <v>24</v>
      </c>
      <c r="F826" t="s">
        <v>45</v>
      </c>
      <c r="G826" t="s">
        <v>105</v>
      </c>
      <c r="H826" t="s">
        <v>188</v>
      </c>
      <c r="I826" t="s">
        <v>48</v>
      </c>
      <c r="J826">
        <v>2</v>
      </c>
      <c r="K826">
        <v>5361.18</v>
      </c>
      <c r="L826">
        <v>25</v>
      </c>
      <c r="M826">
        <v>10722.36</v>
      </c>
      <c r="N826">
        <v>7264.46</v>
      </c>
      <c r="O826">
        <v>3457.9</v>
      </c>
      <c r="P826" t="s">
        <v>144</v>
      </c>
      <c r="Q826">
        <v>3</v>
      </c>
      <c r="R826" t="s">
        <v>30</v>
      </c>
      <c r="S826" t="s">
        <v>74</v>
      </c>
      <c r="T826">
        <v>2024</v>
      </c>
    </row>
    <row r="827" spans="1:20" x14ac:dyDescent="0.3">
      <c r="A827" t="s">
        <v>1283</v>
      </c>
      <c r="B827" t="s">
        <v>1284</v>
      </c>
      <c r="C827" t="s">
        <v>200</v>
      </c>
      <c r="D827" t="s">
        <v>52</v>
      </c>
      <c r="E827" t="s">
        <v>110</v>
      </c>
      <c r="F827" t="s">
        <v>37</v>
      </c>
      <c r="G827" t="s">
        <v>38</v>
      </c>
      <c r="H827" t="s">
        <v>86</v>
      </c>
      <c r="I827" t="s">
        <v>40</v>
      </c>
      <c r="J827">
        <v>2</v>
      </c>
      <c r="K827">
        <v>41996.61</v>
      </c>
      <c r="L827">
        <v>5</v>
      </c>
      <c r="M827">
        <v>83993.22</v>
      </c>
      <c r="N827">
        <v>65480.05</v>
      </c>
      <c r="O827">
        <v>18513.169999999998</v>
      </c>
      <c r="P827" t="s">
        <v>113</v>
      </c>
      <c r="Q827">
        <v>2.1</v>
      </c>
      <c r="R827" t="s">
        <v>30</v>
      </c>
      <c r="S827" t="s">
        <v>58</v>
      </c>
      <c r="T827">
        <v>2024</v>
      </c>
    </row>
    <row r="828" spans="1:20" x14ac:dyDescent="0.3">
      <c r="A828" t="s">
        <v>1285</v>
      </c>
      <c r="B828" t="s">
        <v>426</v>
      </c>
      <c r="C828" t="s">
        <v>136</v>
      </c>
      <c r="D828" t="s">
        <v>35</v>
      </c>
      <c r="E828" t="s">
        <v>36</v>
      </c>
      <c r="F828" t="s">
        <v>45</v>
      </c>
      <c r="G828" t="s">
        <v>46</v>
      </c>
      <c r="H828" t="s">
        <v>100</v>
      </c>
      <c r="I828" t="s">
        <v>101</v>
      </c>
      <c r="J828">
        <v>4</v>
      </c>
      <c r="K828">
        <v>43606.83</v>
      </c>
      <c r="L828">
        <v>10</v>
      </c>
      <c r="M828">
        <v>174427.32</v>
      </c>
      <c r="N828">
        <v>117264.11</v>
      </c>
      <c r="O828">
        <v>57163.21</v>
      </c>
      <c r="P828" t="s">
        <v>29</v>
      </c>
      <c r="Q828">
        <v>3.6</v>
      </c>
      <c r="R828" t="s">
        <v>30</v>
      </c>
      <c r="S828" t="s">
        <v>107</v>
      </c>
      <c r="T828">
        <v>2024</v>
      </c>
    </row>
    <row r="829" spans="1:20" x14ac:dyDescent="0.3">
      <c r="A829" t="s">
        <v>1286</v>
      </c>
      <c r="B829" t="s">
        <v>589</v>
      </c>
      <c r="C829" t="s">
        <v>34</v>
      </c>
      <c r="D829" t="s">
        <v>132</v>
      </c>
      <c r="E829" t="s">
        <v>158</v>
      </c>
      <c r="F829" t="s">
        <v>54</v>
      </c>
      <c r="G829" t="s">
        <v>228</v>
      </c>
      <c r="H829" t="s">
        <v>56</v>
      </c>
      <c r="I829" t="s">
        <v>118</v>
      </c>
      <c r="J829">
        <v>5</v>
      </c>
      <c r="K829">
        <v>14290.07</v>
      </c>
      <c r="L829">
        <v>5</v>
      </c>
      <c r="M829">
        <v>71450.350000000006</v>
      </c>
      <c r="N829">
        <v>47255.89</v>
      </c>
      <c r="O829">
        <v>24194.46</v>
      </c>
      <c r="P829" t="s">
        <v>29</v>
      </c>
      <c r="Q829">
        <v>2.2999999999999998</v>
      </c>
      <c r="R829" t="s">
        <v>30</v>
      </c>
      <c r="S829" t="s">
        <v>42</v>
      </c>
      <c r="T829">
        <v>2024</v>
      </c>
    </row>
    <row r="830" spans="1:20" x14ac:dyDescent="0.3">
      <c r="A830" t="s">
        <v>1287</v>
      </c>
      <c r="B830" t="s">
        <v>909</v>
      </c>
      <c r="C830" t="s">
        <v>168</v>
      </c>
      <c r="D830" t="s">
        <v>132</v>
      </c>
      <c r="E830" t="s">
        <v>158</v>
      </c>
      <c r="F830" t="s">
        <v>54</v>
      </c>
      <c r="G830" t="s">
        <v>91</v>
      </c>
      <c r="H830" t="s">
        <v>179</v>
      </c>
      <c r="I830" t="s">
        <v>118</v>
      </c>
      <c r="J830">
        <v>3</v>
      </c>
      <c r="K830">
        <v>32760.67</v>
      </c>
      <c r="L830">
        <v>10</v>
      </c>
      <c r="M830">
        <v>98282.01</v>
      </c>
      <c r="N830">
        <v>69019.59</v>
      </c>
      <c r="O830">
        <v>29262.42</v>
      </c>
      <c r="P830" t="s">
        <v>144</v>
      </c>
      <c r="Q830">
        <v>1</v>
      </c>
      <c r="R830" t="s">
        <v>30</v>
      </c>
      <c r="S830" t="s">
        <v>119</v>
      </c>
      <c r="T830">
        <v>2024</v>
      </c>
    </row>
    <row r="831" spans="1:20" x14ac:dyDescent="0.3">
      <c r="A831" t="s">
        <v>1288</v>
      </c>
      <c r="B831" t="s">
        <v>51</v>
      </c>
      <c r="C831" t="s">
        <v>34</v>
      </c>
      <c r="D831" t="s">
        <v>52</v>
      </c>
      <c r="E831" t="s">
        <v>53</v>
      </c>
      <c r="F831" t="s">
        <v>25</v>
      </c>
      <c r="G831" t="s">
        <v>26</v>
      </c>
      <c r="H831" t="s">
        <v>121</v>
      </c>
      <c r="I831" t="s">
        <v>112</v>
      </c>
      <c r="J831">
        <v>1</v>
      </c>
      <c r="K831">
        <v>26403.73</v>
      </c>
      <c r="L831">
        <v>10</v>
      </c>
      <c r="M831">
        <v>26403.73</v>
      </c>
      <c r="N831">
        <v>21153.66</v>
      </c>
      <c r="O831">
        <v>5250.07</v>
      </c>
      <c r="P831" t="s">
        <v>29</v>
      </c>
      <c r="Q831">
        <v>3.3</v>
      </c>
      <c r="R831" t="s">
        <v>30</v>
      </c>
      <c r="S831" t="s">
        <v>58</v>
      </c>
      <c r="T831">
        <v>2024</v>
      </c>
    </row>
    <row r="832" spans="1:20" x14ac:dyDescent="0.3">
      <c r="A832" t="s">
        <v>1289</v>
      </c>
      <c r="B832" t="s">
        <v>502</v>
      </c>
      <c r="C832" t="s">
        <v>22</v>
      </c>
      <c r="D832" t="s">
        <v>132</v>
      </c>
      <c r="E832" t="s">
        <v>158</v>
      </c>
      <c r="F832" t="s">
        <v>45</v>
      </c>
      <c r="G832" t="s">
        <v>46</v>
      </c>
      <c r="H832" t="s">
        <v>176</v>
      </c>
      <c r="I832" t="s">
        <v>101</v>
      </c>
      <c r="J832">
        <v>1</v>
      </c>
      <c r="K832">
        <v>34069.64</v>
      </c>
      <c r="L832">
        <v>25</v>
      </c>
      <c r="M832">
        <v>34069.64</v>
      </c>
      <c r="N832">
        <v>28138.82</v>
      </c>
      <c r="O832">
        <v>5930.82</v>
      </c>
      <c r="P832" t="s">
        <v>73</v>
      </c>
      <c r="Q832">
        <v>3</v>
      </c>
      <c r="R832" t="s">
        <v>30</v>
      </c>
      <c r="S832" t="s">
        <v>58</v>
      </c>
      <c r="T832">
        <v>2024</v>
      </c>
    </row>
    <row r="833" spans="1:20" x14ac:dyDescent="0.3">
      <c r="A833" t="s">
        <v>1290</v>
      </c>
      <c r="B833" t="s">
        <v>1095</v>
      </c>
      <c r="C833" t="s">
        <v>168</v>
      </c>
      <c r="D833" t="s">
        <v>23</v>
      </c>
      <c r="E833" t="s">
        <v>24</v>
      </c>
      <c r="F833" t="s">
        <v>62</v>
      </c>
      <c r="G833" t="s">
        <v>71</v>
      </c>
      <c r="H833" t="s">
        <v>83</v>
      </c>
      <c r="I833" t="s">
        <v>143</v>
      </c>
      <c r="J833">
        <v>5</v>
      </c>
      <c r="K833">
        <v>47284.54</v>
      </c>
      <c r="L833">
        <v>20</v>
      </c>
      <c r="M833">
        <v>236422.7</v>
      </c>
      <c r="N833">
        <v>175107.03</v>
      </c>
      <c r="O833">
        <v>61315.67</v>
      </c>
      <c r="P833" t="s">
        <v>144</v>
      </c>
      <c r="Q833">
        <v>2.4</v>
      </c>
      <c r="R833" t="s">
        <v>30</v>
      </c>
      <c r="S833" t="s">
        <v>94</v>
      </c>
      <c r="T833">
        <v>2024</v>
      </c>
    </row>
    <row r="834" spans="1:20" x14ac:dyDescent="0.3">
      <c r="A834" t="s">
        <v>1291</v>
      </c>
      <c r="B834" t="s">
        <v>175</v>
      </c>
      <c r="C834" t="s">
        <v>90</v>
      </c>
      <c r="D834" t="s">
        <v>125</v>
      </c>
      <c r="E834" t="s">
        <v>126</v>
      </c>
      <c r="F834" t="s">
        <v>54</v>
      </c>
      <c r="G834" t="s">
        <v>201</v>
      </c>
      <c r="H834" t="s">
        <v>56</v>
      </c>
      <c r="I834" t="s">
        <v>180</v>
      </c>
      <c r="J834">
        <v>4</v>
      </c>
      <c r="K834">
        <v>28678.880000000001</v>
      </c>
      <c r="L834">
        <v>25</v>
      </c>
      <c r="M834">
        <v>114715.52</v>
      </c>
      <c r="N834">
        <v>94810.6</v>
      </c>
      <c r="O834">
        <v>19904.919999999998</v>
      </c>
      <c r="P834" t="s">
        <v>144</v>
      </c>
      <c r="Q834">
        <v>3.7</v>
      </c>
      <c r="R834" t="s">
        <v>30</v>
      </c>
      <c r="S834" t="s">
        <v>74</v>
      </c>
      <c r="T834">
        <v>2024</v>
      </c>
    </row>
    <row r="835" spans="1:20" x14ac:dyDescent="0.3">
      <c r="A835" t="s">
        <v>1292</v>
      </c>
      <c r="B835" t="s">
        <v>157</v>
      </c>
      <c r="C835" t="s">
        <v>22</v>
      </c>
      <c r="D835" t="s">
        <v>69</v>
      </c>
      <c r="E835" t="s">
        <v>155</v>
      </c>
      <c r="F835" t="s">
        <v>45</v>
      </c>
      <c r="G835" t="s">
        <v>46</v>
      </c>
      <c r="H835" t="s">
        <v>47</v>
      </c>
      <c r="I835" t="s">
        <v>101</v>
      </c>
      <c r="J835">
        <v>5</v>
      </c>
      <c r="K835">
        <v>44918.35</v>
      </c>
      <c r="L835">
        <v>25</v>
      </c>
      <c r="M835">
        <v>224591.75</v>
      </c>
      <c r="N835">
        <v>153690.94</v>
      </c>
      <c r="O835">
        <v>70900.81</v>
      </c>
      <c r="P835" t="s">
        <v>73</v>
      </c>
      <c r="Q835">
        <v>4.4000000000000004</v>
      </c>
      <c r="R835" t="s">
        <v>30</v>
      </c>
      <c r="S835" t="s">
        <v>78</v>
      </c>
      <c r="T835">
        <v>2024</v>
      </c>
    </row>
    <row r="836" spans="1:20" x14ac:dyDescent="0.3">
      <c r="A836" t="s">
        <v>1293</v>
      </c>
      <c r="B836" t="s">
        <v>223</v>
      </c>
      <c r="C836" t="s">
        <v>80</v>
      </c>
      <c r="D836" t="s">
        <v>125</v>
      </c>
      <c r="E836" t="s">
        <v>126</v>
      </c>
      <c r="F836" t="s">
        <v>45</v>
      </c>
      <c r="G836" t="s">
        <v>105</v>
      </c>
      <c r="H836" t="s">
        <v>176</v>
      </c>
      <c r="I836" t="s">
        <v>48</v>
      </c>
      <c r="J836">
        <v>1</v>
      </c>
      <c r="K836">
        <v>31727.37</v>
      </c>
      <c r="L836">
        <v>30</v>
      </c>
      <c r="M836">
        <v>31727.37</v>
      </c>
      <c r="N836">
        <v>26110.41</v>
      </c>
      <c r="O836">
        <v>5616.96</v>
      </c>
      <c r="P836" t="s">
        <v>29</v>
      </c>
      <c r="Q836">
        <v>1.7</v>
      </c>
      <c r="R836" t="s">
        <v>30</v>
      </c>
      <c r="S836" t="s">
        <v>58</v>
      </c>
      <c r="T836">
        <v>2024</v>
      </c>
    </row>
    <row r="837" spans="1:20" x14ac:dyDescent="0.3">
      <c r="A837" t="s">
        <v>1294</v>
      </c>
      <c r="B837" t="s">
        <v>499</v>
      </c>
      <c r="C837" t="s">
        <v>200</v>
      </c>
      <c r="D837" t="s">
        <v>35</v>
      </c>
      <c r="E837" t="s">
        <v>36</v>
      </c>
      <c r="F837" t="s">
        <v>62</v>
      </c>
      <c r="G837" t="s">
        <v>71</v>
      </c>
      <c r="H837" t="s">
        <v>152</v>
      </c>
      <c r="I837" t="s">
        <v>143</v>
      </c>
      <c r="J837">
        <v>3</v>
      </c>
      <c r="K837">
        <v>10766.58</v>
      </c>
      <c r="L837">
        <v>30</v>
      </c>
      <c r="M837">
        <v>32299.74</v>
      </c>
      <c r="N837">
        <v>24695.599999999999</v>
      </c>
      <c r="O837">
        <v>7604.14</v>
      </c>
      <c r="P837" t="s">
        <v>122</v>
      </c>
      <c r="Q837">
        <v>4.2</v>
      </c>
      <c r="R837" t="s">
        <v>159</v>
      </c>
      <c r="S837" t="s">
        <v>107</v>
      </c>
      <c r="T837">
        <v>2024</v>
      </c>
    </row>
    <row r="838" spans="1:20" x14ac:dyDescent="0.3">
      <c r="A838" t="s">
        <v>1295</v>
      </c>
      <c r="B838" t="s">
        <v>1296</v>
      </c>
      <c r="C838" t="s">
        <v>168</v>
      </c>
      <c r="D838" t="s">
        <v>52</v>
      </c>
      <c r="E838" t="s">
        <v>53</v>
      </c>
      <c r="F838" t="s">
        <v>45</v>
      </c>
      <c r="G838" t="s">
        <v>105</v>
      </c>
      <c r="H838" t="s">
        <v>106</v>
      </c>
      <c r="I838" t="s">
        <v>169</v>
      </c>
      <c r="J838">
        <v>4</v>
      </c>
      <c r="K838">
        <v>25288.2</v>
      </c>
      <c r="L838">
        <v>25</v>
      </c>
      <c r="M838">
        <v>101152.8</v>
      </c>
      <c r="N838">
        <v>79756.31</v>
      </c>
      <c r="O838">
        <v>21396.49</v>
      </c>
      <c r="P838" t="s">
        <v>29</v>
      </c>
      <c r="Q838">
        <v>4.8</v>
      </c>
      <c r="R838" t="s">
        <v>30</v>
      </c>
      <c r="S838" t="s">
        <v>162</v>
      </c>
      <c r="T838">
        <v>2024</v>
      </c>
    </row>
    <row r="839" spans="1:20" x14ac:dyDescent="0.3">
      <c r="A839" t="s">
        <v>1297</v>
      </c>
      <c r="B839" t="s">
        <v>725</v>
      </c>
      <c r="C839" t="s">
        <v>168</v>
      </c>
      <c r="D839" t="s">
        <v>23</v>
      </c>
      <c r="E839" t="s">
        <v>24</v>
      </c>
      <c r="F839" t="s">
        <v>54</v>
      </c>
      <c r="G839" t="s">
        <v>228</v>
      </c>
      <c r="H839" t="s">
        <v>179</v>
      </c>
      <c r="I839" t="s">
        <v>57</v>
      </c>
      <c r="J839">
        <v>5</v>
      </c>
      <c r="K839">
        <v>35506.5</v>
      </c>
      <c r="L839">
        <v>10</v>
      </c>
      <c r="M839">
        <v>177532.5</v>
      </c>
      <c r="N839">
        <v>131708.85999999999</v>
      </c>
      <c r="O839">
        <v>45823.64</v>
      </c>
      <c r="P839" t="s">
        <v>41</v>
      </c>
      <c r="Q839">
        <v>4.5</v>
      </c>
      <c r="R839" t="s">
        <v>30</v>
      </c>
      <c r="S839" t="s">
        <v>49</v>
      </c>
      <c r="T839">
        <v>2024</v>
      </c>
    </row>
    <row r="840" spans="1:20" x14ac:dyDescent="0.3">
      <c r="A840" t="s">
        <v>1298</v>
      </c>
      <c r="B840" t="s">
        <v>1296</v>
      </c>
      <c r="C840" t="s">
        <v>116</v>
      </c>
      <c r="D840" t="s">
        <v>23</v>
      </c>
      <c r="E840" t="s">
        <v>24</v>
      </c>
      <c r="F840" t="s">
        <v>25</v>
      </c>
      <c r="G840" t="s">
        <v>26</v>
      </c>
      <c r="H840" t="s">
        <v>221</v>
      </c>
      <c r="I840" t="s">
        <v>28</v>
      </c>
      <c r="J840">
        <v>4</v>
      </c>
      <c r="K840">
        <v>7682.98</v>
      </c>
      <c r="L840">
        <v>20</v>
      </c>
      <c r="M840">
        <v>30731.919999999998</v>
      </c>
      <c r="N840">
        <v>25236.05</v>
      </c>
      <c r="O840">
        <v>5495.87</v>
      </c>
      <c r="P840" t="s">
        <v>113</v>
      </c>
      <c r="Q840">
        <v>4.8</v>
      </c>
      <c r="R840" t="s">
        <v>30</v>
      </c>
      <c r="S840" t="s">
        <v>162</v>
      </c>
      <c r="T840">
        <v>2024</v>
      </c>
    </row>
    <row r="841" spans="1:20" x14ac:dyDescent="0.3">
      <c r="A841" t="s">
        <v>1299</v>
      </c>
      <c r="B841" t="s">
        <v>135</v>
      </c>
      <c r="C841" t="s">
        <v>34</v>
      </c>
      <c r="D841" t="s">
        <v>52</v>
      </c>
      <c r="E841" t="s">
        <v>110</v>
      </c>
      <c r="F841" t="s">
        <v>54</v>
      </c>
      <c r="G841" t="s">
        <v>55</v>
      </c>
      <c r="H841" t="s">
        <v>117</v>
      </c>
      <c r="I841" t="s">
        <v>57</v>
      </c>
      <c r="J841">
        <v>2</v>
      </c>
      <c r="K841">
        <v>32664.01</v>
      </c>
      <c r="L841">
        <v>25</v>
      </c>
      <c r="M841">
        <v>65328.02</v>
      </c>
      <c r="N841">
        <v>42621.14</v>
      </c>
      <c r="O841">
        <v>22706.880000000001</v>
      </c>
      <c r="P841" t="s">
        <v>144</v>
      </c>
      <c r="Q841">
        <v>2.5</v>
      </c>
      <c r="R841" t="s">
        <v>30</v>
      </c>
      <c r="S841" t="s">
        <v>94</v>
      </c>
      <c r="T841">
        <v>2024</v>
      </c>
    </row>
    <row r="842" spans="1:20" x14ac:dyDescent="0.3">
      <c r="A842" t="s">
        <v>1300</v>
      </c>
      <c r="B842" t="s">
        <v>142</v>
      </c>
      <c r="C842" t="s">
        <v>34</v>
      </c>
      <c r="D842" t="s">
        <v>23</v>
      </c>
      <c r="E842" t="s">
        <v>24</v>
      </c>
      <c r="F842" t="s">
        <v>62</v>
      </c>
      <c r="G842" t="s">
        <v>71</v>
      </c>
      <c r="H842" t="s">
        <v>83</v>
      </c>
      <c r="I842" t="s">
        <v>165</v>
      </c>
      <c r="J842">
        <v>3</v>
      </c>
      <c r="K842">
        <v>14359.56</v>
      </c>
      <c r="L842">
        <v>15</v>
      </c>
      <c r="M842">
        <v>43078.68</v>
      </c>
      <c r="N842">
        <v>33135.910000000003</v>
      </c>
      <c r="O842">
        <v>9942.77</v>
      </c>
      <c r="P842" t="s">
        <v>29</v>
      </c>
      <c r="Q842">
        <v>2.2999999999999998</v>
      </c>
      <c r="R842" t="s">
        <v>30</v>
      </c>
      <c r="S842" t="s">
        <v>78</v>
      </c>
      <c r="T842">
        <v>2024</v>
      </c>
    </row>
    <row r="843" spans="1:20" x14ac:dyDescent="0.3">
      <c r="A843" t="s">
        <v>1301</v>
      </c>
      <c r="B843" t="s">
        <v>161</v>
      </c>
      <c r="C843" t="s">
        <v>97</v>
      </c>
      <c r="D843" t="s">
        <v>132</v>
      </c>
      <c r="E843" t="s">
        <v>158</v>
      </c>
      <c r="F843" t="s">
        <v>37</v>
      </c>
      <c r="G843" t="s">
        <v>38</v>
      </c>
      <c r="H843" t="s">
        <v>77</v>
      </c>
      <c r="I843" t="s">
        <v>40</v>
      </c>
      <c r="J843">
        <v>5</v>
      </c>
      <c r="K843">
        <v>3632.93</v>
      </c>
      <c r="L843">
        <v>30</v>
      </c>
      <c r="M843">
        <v>18164.650000000001</v>
      </c>
      <c r="N843">
        <v>12318.44</v>
      </c>
      <c r="O843">
        <v>5846.21</v>
      </c>
      <c r="P843" t="s">
        <v>122</v>
      </c>
      <c r="Q843">
        <v>2.1</v>
      </c>
      <c r="R843" t="s">
        <v>30</v>
      </c>
      <c r="S843" t="s">
        <v>162</v>
      </c>
      <c r="T843">
        <v>2024</v>
      </c>
    </row>
    <row r="844" spans="1:20" x14ac:dyDescent="0.3">
      <c r="A844" t="s">
        <v>1302</v>
      </c>
      <c r="B844" t="s">
        <v>265</v>
      </c>
      <c r="C844" t="s">
        <v>97</v>
      </c>
      <c r="D844" t="s">
        <v>81</v>
      </c>
      <c r="E844" t="s">
        <v>82</v>
      </c>
      <c r="F844" t="s">
        <v>62</v>
      </c>
      <c r="G844" t="s">
        <v>63</v>
      </c>
      <c r="H844" t="s">
        <v>72</v>
      </c>
      <c r="I844" t="s">
        <v>143</v>
      </c>
      <c r="J844">
        <v>1</v>
      </c>
      <c r="K844">
        <v>30519.71</v>
      </c>
      <c r="L844">
        <v>20</v>
      </c>
      <c r="M844">
        <v>30519.71</v>
      </c>
      <c r="N844">
        <v>21046.57</v>
      </c>
      <c r="O844">
        <v>9473.14</v>
      </c>
      <c r="P844" t="s">
        <v>144</v>
      </c>
      <c r="Q844">
        <v>3.2</v>
      </c>
      <c r="R844" t="s">
        <v>30</v>
      </c>
      <c r="S844" t="s">
        <v>102</v>
      </c>
      <c r="T844">
        <v>2024</v>
      </c>
    </row>
    <row r="845" spans="1:20" x14ac:dyDescent="0.3">
      <c r="A845" t="s">
        <v>1303</v>
      </c>
      <c r="B845" t="s">
        <v>1304</v>
      </c>
      <c r="C845" t="s">
        <v>136</v>
      </c>
      <c r="D845" t="s">
        <v>81</v>
      </c>
      <c r="E845" t="s">
        <v>149</v>
      </c>
      <c r="F845" t="s">
        <v>62</v>
      </c>
      <c r="G845" t="s">
        <v>71</v>
      </c>
      <c r="H845" t="s">
        <v>271</v>
      </c>
      <c r="I845" t="s">
        <v>165</v>
      </c>
      <c r="J845">
        <v>3</v>
      </c>
      <c r="K845">
        <v>999.54</v>
      </c>
      <c r="L845">
        <v>20</v>
      </c>
      <c r="M845">
        <v>2998.62</v>
      </c>
      <c r="N845">
        <v>1995.3</v>
      </c>
      <c r="O845">
        <v>1003.32</v>
      </c>
      <c r="P845" t="s">
        <v>29</v>
      </c>
      <c r="Q845">
        <v>3.2</v>
      </c>
      <c r="R845" t="s">
        <v>30</v>
      </c>
      <c r="S845" t="s">
        <v>87</v>
      </c>
      <c r="T845">
        <v>2025</v>
      </c>
    </row>
    <row r="846" spans="1:20" x14ac:dyDescent="0.3">
      <c r="A846" t="s">
        <v>1305</v>
      </c>
      <c r="B846" t="s">
        <v>527</v>
      </c>
      <c r="C846" t="s">
        <v>136</v>
      </c>
      <c r="D846" t="s">
        <v>52</v>
      </c>
      <c r="E846" t="s">
        <v>110</v>
      </c>
      <c r="F846" t="s">
        <v>62</v>
      </c>
      <c r="G846" t="s">
        <v>71</v>
      </c>
      <c r="H846" t="s">
        <v>72</v>
      </c>
      <c r="I846" t="s">
        <v>65</v>
      </c>
      <c r="J846">
        <v>3</v>
      </c>
      <c r="K846">
        <v>15481.49</v>
      </c>
      <c r="L846">
        <v>5</v>
      </c>
      <c r="M846">
        <v>46444.47</v>
      </c>
      <c r="N846">
        <v>37086.99</v>
      </c>
      <c r="O846">
        <v>9357.48</v>
      </c>
      <c r="P846" t="s">
        <v>73</v>
      </c>
      <c r="Q846">
        <v>2.1</v>
      </c>
      <c r="R846" t="s">
        <v>30</v>
      </c>
      <c r="S846" t="s">
        <v>49</v>
      </c>
      <c r="T846">
        <v>2024</v>
      </c>
    </row>
    <row r="847" spans="1:20" x14ac:dyDescent="0.3">
      <c r="A847" t="s">
        <v>1306</v>
      </c>
      <c r="B847" t="s">
        <v>205</v>
      </c>
      <c r="C847" t="s">
        <v>97</v>
      </c>
      <c r="D847" t="s">
        <v>132</v>
      </c>
      <c r="E847" t="s">
        <v>158</v>
      </c>
      <c r="F847" t="s">
        <v>62</v>
      </c>
      <c r="G847" t="s">
        <v>71</v>
      </c>
      <c r="H847" t="s">
        <v>83</v>
      </c>
      <c r="I847" t="s">
        <v>65</v>
      </c>
      <c r="J847">
        <v>2</v>
      </c>
      <c r="K847">
        <v>33814.720000000001</v>
      </c>
      <c r="L847">
        <v>10</v>
      </c>
      <c r="M847">
        <v>67629.440000000002</v>
      </c>
      <c r="N847">
        <v>51914.36</v>
      </c>
      <c r="O847">
        <v>15715.08</v>
      </c>
      <c r="P847" t="s">
        <v>144</v>
      </c>
      <c r="Q847">
        <v>1.3</v>
      </c>
      <c r="R847" t="s">
        <v>66</v>
      </c>
      <c r="S847" t="s">
        <v>74</v>
      </c>
      <c r="T847">
        <v>2024</v>
      </c>
    </row>
    <row r="848" spans="1:20" x14ac:dyDescent="0.3">
      <c r="A848" t="s">
        <v>1307</v>
      </c>
      <c r="B848" t="s">
        <v>564</v>
      </c>
      <c r="C848" t="s">
        <v>97</v>
      </c>
      <c r="D848" t="s">
        <v>23</v>
      </c>
      <c r="E848" t="s">
        <v>24</v>
      </c>
      <c r="F848" t="s">
        <v>62</v>
      </c>
      <c r="G848" t="s">
        <v>71</v>
      </c>
      <c r="H848" t="s">
        <v>83</v>
      </c>
      <c r="I848" t="s">
        <v>143</v>
      </c>
      <c r="J848">
        <v>3</v>
      </c>
      <c r="K848">
        <v>13559.39</v>
      </c>
      <c r="L848">
        <v>5</v>
      </c>
      <c r="M848">
        <v>40678.17</v>
      </c>
      <c r="N848">
        <v>31953.1</v>
      </c>
      <c r="O848">
        <v>8725.07</v>
      </c>
      <c r="P848" t="s">
        <v>144</v>
      </c>
      <c r="Q848">
        <v>3.6</v>
      </c>
      <c r="R848" t="s">
        <v>30</v>
      </c>
      <c r="S848" t="s">
        <v>31</v>
      </c>
      <c r="T848">
        <v>2024</v>
      </c>
    </row>
    <row r="849" spans="1:20" x14ac:dyDescent="0.3">
      <c r="A849" t="s">
        <v>1308</v>
      </c>
      <c r="B849" t="s">
        <v>1186</v>
      </c>
      <c r="C849" t="s">
        <v>168</v>
      </c>
      <c r="D849" t="s">
        <v>23</v>
      </c>
      <c r="E849" t="s">
        <v>24</v>
      </c>
      <c r="F849" t="s">
        <v>37</v>
      </c>
      <c r="G849" t="s">
        <v>38</v>
      </c>
      <c r="H849" t="s">
        <v>140</v>
      </c>
      <c r="I849" t="s">
        <v>40</v>
      </c>
      <c r="J849">
        <v>3</v>
      </c>
      <c r="K849">
        <v>18461.509999999998</v>
      </c>
      <c r="L849">
        <v>10</v>
      </c>
      <c r="M849">
        <v>55384.53</v>
      </c>
      <c r="N849">
        <v>37538.660000000003</v>
      </c>
      <c r="O849">
        <v>17845.87</v>
      </c>
      <c r="P849" t="s">
        <v>113</v>
      </c>
      <c r="Q849">
        <v>4.4000000000000004</v>
      </c>
      <c r="R849" t="s">
        <v>30</v>
      </c>
      <c r="S849" t="s">
        <v>31</v>
      </c>
      <c r="T849">
        <v>2024</v>
      </c>
    </row>
    <row r="850" spans="1:20" x14ac:dyDescent="0.3">
      <c r="A850" t="s">
        <v>1309</v>
      </c>
      <c r="B850" t="s">
        <v>431</v>
      </c>
      <c r="C850" t="s">
        <v>168</v>
      </c>
      <c r="D850" t="s">
        <v>98</v>
      </c>
      <c r="E850" t="s">
        <v>99</v>
      </c>
      <c r="F850" t="s">
        <v>54</v>
      </c>
      <c r="G850" t="s">
        <v>201</v>
      </c>
      <c r="H850" t="s">
        <v>117</v>
      </c>
      <c r="I850" t="s">
        <v>57</v>
      </c>
      <c r="J850">
        <v>4</v>
      </c>
      <c r="K850">
        <v>22868.39</v>
      </c>
      <c r="L850">
        <v>15</v>
      </c>
      <c r="M850">
        <v>91473.56</v>
      </c>
      <c r="N850">
        <v>69880.89</v>
      </c>
      <c r="O850">
        <v>21592.67</v>
      </c>
      <c r="P850" t="s">
        <v>29</v>
      </c>
      <c r="Q850">
        <v>1.3</v>
      </c>
      <c r="R850" t="s">
        <v>30</v>
      </c>
      <c r="S850" t="s">
        <v>119</v>
      </c>
      <c r="T850">
        <v>2024</v>
      </c>
    </row>
    <row r="851" spans="1:20" x14ac:dyDescent="0.3">
      <c r="A851" t="s">
        <v>1310</v>
      </c>
      <c r="B851" t="s">
        <v>551</v>
      </c>
      <c r="C851" t="s">
        <v>136</v>
      </c>
      <c r="D851" t="s">
        <v>132</v>
      </c>
      <c r="E851" t="s">
        <v>133</v>
      </c>
      <c r="F851" t="s">
        <v>62</v>
      </c>
      <c r="G851" t="s">
        <v>71</v>
      </c>
      <c r="H851" t="s">
        <v>271</v>
      </c>
      <c r="I851" t="s">
        <v>65</v>
      </c>
      <c r="J851">
        <v>2</v>
      </c>
      <c r="K851">
        <v>17795.7</v>
      </c>
      <c r="L851">
        <v>10</v>
      </c>
      <c r="M851">
        <v>35591.4</v>
      </c>
      <c r="N851">
        <v>25681.98</v>
      </c>
      <c r="O851">
        <v>9909.42</v>
      </c>
      <c r="P851" t="s">
        <v>113</v>
      </c>
      <c r="Q851">
        <v>4.2</v>
      </c>
      <c r="R851" t="s">
        <v>30</v>
      </c>
      <c r="S851" t="s">
        <v>119</v>
      </c>
      <c r="T851">
        <v>2024</v>
      </c>
    </row>
    <row r="852" spans="1:20" x14ac:dyDescent="0.3">
      <c r="A852" t="s">
        <v>1311</v>
      </c>
      <c r="B852" t="s">
        <v>1312</v>
      </c>
      <c r="C852" t="s">
        <v>136</v>
      </c>
      <c r="D852" t="s">
        <v>98</v>
      </c>
      <c r="E852" t="s">
        <v>99</v>
      </c>
      <c r="F852" t="s">
        <v>45</v>
      </c>
      <c r="G852" t="s">
        <v>105</v>
      </c>
      <c r="H852" t="s">
        <v>100</v>
      </c>
      <c r="I852" t="s">
        <v>169</v>
      </c>
      <c r="J852">
        <v>4</v>
      </c>
      <c r="K852">
        <v>20095.189999999999</v>
      </c>
      <c r="L852">
        <v>5</v>
      </c>
      <c r="M852">
        <v>80380.759999999995</v>
      </c>
      <c r="N852">
        <v>61874.35</v>
      </c>
      <c r="O852">
        <v>18506.41</v>
      </c>
      <c r="P852" t="s">
        <v>122</v>
      </c>
      <c r="Q852">
        <v>2.7</v>
      </c>
      <c r="R852" t="s">
        <v>30</v>
      </c>
      <c r="S852" t="s">
        <v>87</v>
      </c>
      <c r="T852">
        <v>2025</v>
      </c>
    </row>
    <row r="853" spans="1:20" x14ac:dyDescent="0.3">
      <c r="A853" t="s">
        <v>1313</v>
      </c>
      <c r="B853" t="s">
        <v>600</v>
      </c>
      <c r="C853" t="s">
        <v>22</v>
      </c>
      <c r="D853" t="s">
        <v>81</v>
      </c>
      <c r="E853" t="s">
        <v>128</v>
      </c>
      <c r="F853" t="s">
        <v>62</v>
      </c>
      <c r="G853" t="s">
        <v>71</v>
      </c>
      <c r="H853" t="s">
        <v>64</v>
      </c>
      <c r="I853" t="s">
        <v>143</v>
      </c>
      <c r="J853">
        <v>2</v>
      </c>
      <c r="K853">
        <v>13998.81</v>
      </c>
      <c r="L853">
        <v>30</v>
      </c>
      <c r="M853">
        <v>27997.62</v>
      </c>
      <c r="N853">
        <v>20296.68</v>
      </c>
      <c r="O853">
        <v>7700.94</v>
      </c>
      <c r="P853" t="s">
        <v>144</v>
      </c>
      <c r="Q853">
        <v>2.7</v>
      </c>
      <c r="R853" t="s">
        <v>66</v>
      </c>
      <c r="S853" t="s">
        <v>78</v>
      </c>
      <c r="T853">
        <v>2024</v>
      </c>
    </row>
    <row r="854" spans="1:20" x14ac:dyDescent="0.3">
      <c r="A854" t="s">
        <v>1314</v>
      </c>
      <c r="B854" t="s">
        <v>517</v>
      </c>
      <c r="C854" t="s">
        <v>116</v>
      </c>
      <c r="D854" t="s">
        <v>98</v>
      </c>
      <c r="E854" t="s">
        <v>99</v>
      </c>
      <c r="F854" t="s">
        <v>62</v>
      </c>
      <c r="G854" t="s">
        <v>63</v>
      </c>
      <c r="H854" t="s">
        <v>72</v>
      </c>
      <c r="I854" t="s">
        <v>65</v>
      </c>
      <c r="J854">
        <v>3</v>
      </c>
      <c r="K854">
        <v>787.27</v>
      </c>
      <c r="L854">
        <v>10</v>
      </c>
      <c r="M854">
        <v>2361.81</v>
      </c>
      <c r="N854">
        <v>1787.04</v>
      </c>
      <c r="O854">
        <v>574.77</v>
      </c>
      <c r="P854" t="s">
        <v>41</v>
      </c>
      <c r="Q854">
        <v>2.1</v>
      </c>
      <c r="R854" t="s">
        <v>30</v>
      </c>
      <c r="S854" t="s">
        <v>107</v>
      </c>
      <c r="T854">
        <v>2024</v>
      </c>
    </row>
    <row r="855" spans="1:20" x14ac:dyDescent="0.3">
      <c r="A855" t="s">
        <v>1315</v>
      </c>
      <c r="B855" t="s">
        <v>1123</v>
      </c>
      <c r="C855" t="s">
        <v>22</v>
      </c>
      <c r="D855" t="s">
        <v>52</v>
      </c>
      <c r="E855" t="s">
        <v>110</v>
      </c>
      <c r="F855" t="s">
        <v>54</v>
      </c>
      <c r="G855" t="s">
        <v>228</v>
      </c>
      <c r="H855" t="s">
        <v>179</v>
      </c>
      <c r="I855" t="s">
        <v>180</v>
      </c>
      <c r="J855">
        <v>3</v>
      </c>
      <c r="K855">
        <v>47363.199999999997</v>
      </c>
      <c r="L855">
        <v>15</v>
      </c>
      <c r="M855">
        <v>142089.60000000001</v>
      </c>
      <c r="N855">
        <v>92852.22</v>
      </c>
      <c r="O855">
        <v>49237.38</v>
      </c>
      <c r="P855" t="s">
        <v>122</v>
      </c>
      <c r="Q855">
        <v>3.3</v>
      </c>
      <c r="R855" t="s">
        <v>30</v>
      </c>
      <c r="S855" t="s">
        <v>58</v>
      </c>
      <c r="T855">
        <v>2024</v>
      </c>
    </row>
    <row r="856" spans="1:20" x14ac:dyDescent="0.3">
      <c r="A856" t="s">
        <v>1316</v>
      </c>
      <c r="B856" t="s">
        <v>884</v>
      </c>
      <c r="C856" t="s">
        <v>61</v>
      </c>
      <c r="D856" t="s">
        <v>35</v>
      </c>
      <c r="E856" t="s">
        <v>36</v>
      </c>
      <c r="F856" t="s">
        <v>37</v>
      </c>
      <c r="G856" t="s">
        <v>38</v>
      </c>
      <c r="H856" t="s">
        <v>77</v>
      </c>
      <c r="I856" t="s">
        <v>40</v>
      </c>
      <c r="J856">
        <v>4</v>
      </c>
      <c r="K856">
        <v>9655.0300000000007</v>
      </c>
      <c r="L856">
        <v>25</v>
      </c>
      <c r="M856">
        <v>38620.120000000003</v>
      </c>
      <c r="N856">
        <v>28962.43</v>
      </c>
      <c r="O856">
        <v>9657.69</v>
      </c>
      <c r="P856" t="s">
        <v>122</v>
      </c>
      <c r="Q856">
        <v>1.5</v>
      </c>
      <c r="R856" t="s">
        <v>30</v>
      </c>
      <c r="S856" t="s">
        <v>58</v>
      </c>
      <c r="T856">
        <v>2024</v>
      </c>
    </row>
    <row r="857" spans="1:20" x14ac:dyDescent="0.3">
      <c r="A857" t="s">
        <v>1317</v>
      </c>
      <c r="B857" t="s">
        <v>362</v>
      </c>
      <c r="C857" t="s">
        <v>116</v>
      </c>
      <c r="D857" t="s">
        <v>52</v>
      </c>
      <c r="E857" t="s">
        <v>110</v>
      </c>
      <c r="F857" t="s">
        <v>62</v>
      </c>
      <c r="G857" t="s">
        <v>71</v>
      </c>
      <c r="H857" t="s">
        <v>64</v>
      </c>
      <c r="I857" t="s">
        <v>165</v>
      </c>
      <c r="J857">
        <v>1</v>
      </c>
      <c r="K857">
        <v>24151.49</v>
      </c>
      <c r="L857">
        <v>5</v>
      </c>
      <c r="M857">
        <v>24151.49</v>
      </c>
      <c r="N857">
        <v>16118.69</v>
      </c>
      <c r="O857">
        <v>8032.8</v>
      </c>
      <c r="P857" t="s">
        <v>41</v>
      </c>
      <c r="Q857">
        <v>4.8</v>
      </c>
      <c r="R857" t="s">
        <v>30</v>
      </c>
      <c r="S857" t="s">
        <v>74</v>
      </c>
      <c r="T857">
        <v>2024</v>
      </c>
    </row>
    <row r="858" spans="1:20" x14ac:dyDescent="0.3">
      <c r="A858" t="s">
        <v>1318</v>
      </c>
      <c r="B858" t="s">
        <v>1145</v>
      </c>
      <c r="C858" t="s">
        <v>136</v>
      </c>
      <c r="D858" t="s">
        <v>125</v>
      </c>
      <c r="E858" t="s">
        <v>139</v>
      </c>
      <c r="F858" t="s">
        <v>25</v>
      </c>
      <c r="G858" t="s">
        <v>26</v>
      </c>
      <c r="H858" t="s">
        <v>121</v>
      </c>
      <c r="I858" t="s">
        <v>112</v>
      </c>
      <c r="J858">
        <v>4</v>
      </c>
      <c r="K858">
        <v>3697.32</v>
      </c>
      <c r="L858">
        <v>5</v>
      </c>
      <c r="M858">
        <v>14789.28</v>
      </c>
      <c r="N858">
        <v>10473.34</v>
      </c>
      <c r="O858">
        <v>4315.9399999999996</v>
      </c>
      <c r="P858" t="s">
        <v>41</v>
      </c>
      <c r="Q858">
        <v>1.3</v>
      </c>
      <c r="R858" t="s">
        <v>30</v>
      </c>
      <c r="S858" t="s">
        <v>102</v>
      </c>
      <c r="T858">
        <v>2024</v>
      </c>
    </row>
    <row r="859" spans="1:20" x14ac:dyDescent="0.3">
      <c r="A859" t="s">
        <v>1319</v>
      </c>
      <c r="B859" t="s">
        <v>589</v>
      </c>
      <c r="C859" t="s">
        <v>116</v>
      </c>
      <c r="D859" t="s">
        <v>98</v>
      </c>
      <c r="E859" t="s">
        <v>99</v>
      </c>
      <c r="F859" t="s">
        <v>25</v>
      </c>
      <c r="G859" t="s">
        <v>26</v>
      </c>
      <c r="H859" t="s">
        <v>27</v>
      </c>
      <c r="I859" t="s">
        <v>28</v>
      </c>
      <c r="J859">
        <v>5</v>
      </c>
      <c r="K859">
        <v>43840.04</v>
      </c>
      <c r="L859">
        <v>20</v>
      </c>
      <c r="M859">
        <v>219200.2</v>
      </c>
      <c r="N859">
        <v>159608.04</v>
      </c>
      <c r="O859">
        <v>59592.160000000003</v>
      </c>
      <c r="P859" t="s">
        <v>122</v>
      </c>
      <c r="Q859">
        <v>3</v>
      </c>
      <c r="R859" t="s">
        <v>30</v>
      </c>
      <c r="S859" t="s">
        <v>42</v>
      </c>
      <c r="T859">
        <v>2024</v>
      </c>
    </row>
    <row r="860" spans="1:20" x14ac:dyDescent="0.3">
      <c r="A860" t="s">
        <v>1320</v>
      </c>
      <c r="B860" t="s">
        <v>471</v>
      </c>
      <c r="C860" t="s">
        <v>80</v>
      </c>
      <c r="D860" t="s">
        <v>98</v>
      </c>
      <c r="E860" t="s">
        <v>99</v>
      </c>
      <c r="F860" t="s">
        <v>62</v>
      </c>
      <c r="G860" t="s">
        <v>63</v>
      </c>
      <c r="H860" t="s">
        <v>271</v>
      </c>
      <c r="I860" t="s">
        <v>65</v>
      </c>
      <c r="J860">
        <v>5</v>
      </c>
      <c r="K860">
        <v>6494.62</v>
      </c>
      <c r="L860">
        <v>15</v>
      </c>
      <c r="M860">
        <v>32473.1</v>
      </c>
      <c r="N860">
        <v>21790.799999999999</v>
      </c>
      <c r="O860">
        <v>10682.3</v>
      </c>
      <c r="P860" t="s">
        <v>41</v>
      </c>
      <c r="Q860">
        <v>2.6</v>
      </c>
      <c r="R860" t="s">
        <v>159</v>
      </c>
      <c r="S860" t="s">
        <v>31</v>
      </c>
      <c r="T860">
        <v>2024</v>
      </c>
    </row>
    <row r="861" spans="1:20" x14ac:dyDescent="0.3">
      <c r="A861" t="s">
        <v>1321</v>
      </c>
      <c r="B861" t="s">
        <v>382</v>
      </c>
      <c r="C861" t="s">
        <v>116</v>
      </c>
      <c r="D861" t="s">
        <v>69</v>
      </c>
      <c r="E861" t="s">
        <v>155</v>
      </c>
      <c r="F861" t="s">
        <v>25</v>
      </c>
      <c r="G861" t="s">
        <v>26</v>
      </c>
      <c r="H861" t="s">
        <v>27</v>
      </c>
      <c r="I861" t="s">
        <v>28</v>
      </c>
      <c r="J861">
        <v>1</v>
      </c>
      <c r="K861">
        <v>7761.67</v>
      </c>
      <c r="L861">
        <v>15</v>
      </c>
      <c r="M861">
        <v>7761.67</v>
      </c>
      <c r="N861">
        <v>6019.94</v>
      </c>
      <c r="O861">
        <v>1741.73</v>
      </c>
      <c r="P861" t="s">
        <v>41</v>
      </c>
      <c r="Q861">
        <v>4.8</v>
      </c>
      <c r="R861" t="s">
        <v>66</v>
      </c>
      <c r="S861" t="s">
        <v>102</v>
      </c>
      <c r="T861">
        <v>2025</v>
      </c>
    </row>
    <row r="862" spans="1:20" x14ac:dyDescent="0.3">
      <c r="A862" t="s">
        <v>1322</v>
      </c>
      <c r="B862" t="s">
        <v>1323</v>
      </c>
      <c r="C862" t="s">
        <v>97</v>
      </c>
      <c r="D862" t="s">
        <v>35</v>
      </c>
      <c r="E862" t="s">
        <v>36</v>
      </c>
      <c r="F862" t="s">
        <v>45</v>
      </c>
      <c r="G862" t="s">
        <v>46</v>
      </c>
      <c r="H862" t="s">
        <v>176</v>
      </c>
      <c r="I862" t="s">
        <v>101</v>
      </c>
      <c r="J862">
        <v>4</v>
      </c>
      <c r="K862">
        <v>43300.52</v>
      </c>
      <c r="L862">
        <v>20</v>
      </c>
      <c r="M862">
        <v>173202.08</v>
      </c>
      <c r="N862">
        <v>132749.73000000001</v>
      </c>
      <c r="O862">
        <v>40452.35</v>
      </c>
      <c r="P862" t="s">
        <v>113</v>
      </c>
      <c r="Q862">
        <v>1.1000000000000001</v>
      </c>
      <c r="R862" t="s">
        <v>30</v>
      </c>
      <c r="S862" t="s">
        <v>74</v>
      </c>
      <c r="T862">
        <v>2024</v>
      </c>
    </row>
    <row r="863" spans="1:20" x14ac:dyDescent="0.3">
      <c r="A863" t="s">
        <v>1324</v>
      </c>
      <c r="B863" t="s">
        <v>1325</v>
      </c>
      <c r="C863" t="s">
        <v>200</v>
      </c>
      <c r="D863" t="s">
        <v>69</v>
      </c>
      <c r="E863" t="s">
        <v>70</v>
      </c>
      <c r="F863" t="s">
        <v>62</v>
      </c>
      <c r="G863" t="s">
        <v>71</v>
      </c>
      <c r="H863" t="s">
        <v>271</v>
      </c>
      <c r="I863" t="s">
        <v>65</v>
      </c>
      <c r="J863">
        <v>4</v>
      </c>
      <c r="K863">
        <v>36583.040000000001</v>
      </c>
      <c r="L863">
        <v>20</v>
      </c>
      <c r="M863">
        <v>146332.16</v>
      </c>
      <c r="N863">
        <v>122640.67</v>
      </c>
      <c r="O863">
        <v>23691.49</v>
      </c>
      <c r="P863" t="s">
        <v>113</v>
      </c>
      <c r="Q863">
        <v>2</v>
      </c>
      <c r="R863" t="s">
        <v>30</v>
      </c>
      <c r="S863" t="s">
        <v>107</v>
      </c>
      <c r="T863">
        <v>2024</v>
      </c>
    </row>
    <row r="864" spans="1:20" x14ac:dyDescent="0.3">
      <c r="A864" t="s">
        <v>1326</v>
      </c>
      <c r="B864" t="s">
        <v>241</v>
      </c>
      <c r="C864" t="s">
        <v>34</v>
      </c>
      <c r="D864" t="s">
        <v>98</v>
      </c>
      <c r="E864" t="s">
        <v>99</v>
      </c>
      <c r="F864" t="s">
        <v>54</v>
      </c>
      <c r="G864" t="s">
        <v>91</v>
      </c>
      <c r="H864" t="s">
        <v>56</v>
      </c>
      <c r="I864" t="s">
        <v>296</v>
      </c>
      <c r="J864">
        <v>3</v>
      </c>
      <c r="K864">
        <v>43298.080000000002</v>
      </c>
      <c r="L864">
        <v>10</v>
      </c>
      <c r="M864">
        <v>129894.24</v>
      </c>
      <c r="N864">
        <v>90897.97</v>
      </c>
      <c r="O864">
        <v>38996.269999999997</v>
      </c>
      <c r="P864" t="s">
        <v>41</v>
      </c>
      <c r="Q864">
        <v>1.6</v>
      </c>
      <c r="R864" t="s">
        <v>30</v>
      </c>
      <c r="S864" t="s">
        <v>78</v>
      </c>
      <c r="T864">
        <v>2024</v>
      </c>
    </row>
    <row r="865" spans="1:20" x14ac:dyDescent="0.3">
      <c r="A865" t="s">
        <v>1327</v>
      </c>
      <c r="B865" t="s">
        <v>1328</v>
      </c>
      <c r="C865" t="s">
        <v>168</v>
      </c>
      <c r="D865" t="s">
        <v>23</v>
      </c>
      <c r="E865" t="s">
        <v>24</v>
      </c>
      <c r="F865" t="s">
        <v>25</v>
      </c>
      <c r="G865" t="s">
        <v>111</v>
      </c>
      <c r="H865" t="s">
        <v>235</v>
      </c>
      <c r="I865" t="s">
        <v>28</v>
      </c>
      <c r="J865">
        <v>5</v>
      </c>
      <c r="K865">
        <v>47427.3</v>
      </c>
      <c r="L865">
        <v>25</v>
      </c>
      <c r="M865">
        <v>237136.5</v>
      </c>
      <c r="N865">
        <v>191566.67</v>
      </c>
      <c r="O865">
        <v>45569.83</v>
      </c>
      <c r="P865" t="s">
        <v>73</v>
      </c>
      <c r="Q865">
        <v>4</v>
      </c>
      <c r="R865" t="s">
        <v>30</v>
      </c>
      <c r="S865" t="s">
        <v>94</v>
      </c>
      <c r="T865">
        <v>2024</v>
      </c>
    </row>
    <row r="866" spans="1:20" x14ac:dyDescent="0.3">
      <c r="A866" t="s">
        <v>1329</v>
      </c>
      <c r="B866" t="s">
        <v>1178</v>
      </c>
      <c r="C866" t="s">
        <v>80</v>
      </c>
      <c r="D866" t="s">
        <v>98</v>
      </c>
      <c r="E866" t="s">
        <v>99</v>
      </c>
      <c r="F866" t="s">
        <v>54</v>
      </c>
      <c r="G866" t="s">
        <v>228</v>
      </c>
      <c r="H866" t="s">
        <v>117</v>
      </c>
      <c r="I866" t="s">
        <v>180</v>
      </c>
      <c r="J866">
        <v>5</v>
      </c>
      <c r="K866">
        <v>32950.949999999997</v>
      </c>
      <c r="L866">
        <v>10</v>
      </c>
      <c r="M866">
        <v>164754.75</v>
      </c>
      <c r="N866">
        <v>107826.46</v>
      </c>
      <c r="O866">
        <v>56928.29</v>
      </c>
      <c r="P866" t="s">
        <v>144</v>
      </c>
      <c r="Q866">
        <v>2.2000000000000002</v>
      </c>
      <c r="R866" t="s">
        <v>30</v>
      </c>
      <c r="S866" t="s">
        <v>78</v>
      </c>
      <c r="T866">
        <v>2024</v>
      </c>
    </row>
    <row r="867" spans="1:20" x14ac:dyDescent="0.3">
      <c r="A867" t="s">
        <v>1330</v>
      </c>
      <c r="B867" t="s">
        <v>775</v>
      </c>
      <c r="C867" t="s">
        <v>168</v>
      </c>
      <c r="D867" t="s">
        <v>81</v>
      </c>
      <c r="E867" t="s">
        <v>128</v>
      </c>
      <c r="F867" t="s">
        <v>45</v>
      </c>
      <c r="G867" t="s">
        <v>105</v>
      </c>
      <c r="H867" t="s">
        <v>47</v>
      </c>
      <c r="I867" t="s">
        <v>101</v>
      </c>
      <c r="J867">
        <v>2</v>
      </c>
      <c r="K867">
        <v>14064.35</v>
      </c>
      <c r="L867">
        <v>5</v>
      </c>
      <c r="M867">
        <v>28128.7</v>
      </c>
      <c r="N867">
        <v>19253.099999999999</v>
      </c>
      <c r="O867">
        <v>8875.6</v>
      </c>
      <c r="P867" t="s">
        <v>144</v>
      </c>
      <c r="Q867">
        <v>2.9</v>
      </c>
      <c r="R867" t="s">
        <v>30</v>
      </c>
      <c r="S867" t="s">
        <v>107</v>
      </c>
      <c r="T867">
        <v>2024</v>
      </c>
    </row>
    <row r="868" spans="1:20" x14ac:dyDescent="0.3">
      <c r="A868" t="s">
        <v>1331</v>
      </c>
      <c r="B868" t="s">
        <v>44</v>
      </c>
      <c r="C868" t="s">
        <v>97</v>
      </c>
      <c r="D868" t="s">
        <v>52</v>
      </c>
      <c r="E868" t="s">
        <v>110</v>
      </c>
      <c r="F868" t="s">
        <v>45</v>
      </c>
      <c r="G868" t="s">
        <v>105</v>
      </c>
      <c r="H868" t="s">
        <v>106</v>
      </c>
      <c r="I868" t="s">
        <v>48</v>
      </c>
      <c r="J868">
        <v>3</v>
      </c>
      <c r="K868">
        <v>49911.75</v>
      </c>
      <c r="L868">
        <v>25</v>
      </c>
      <c r="M868">
        <v>149735.25</v>
      </c>
      <c r="N868">
        <v>109599.67999999999</v>
      </c>
      <c r="O868">
        <v>40135.57</v>
      </c>
      <c r="P868" t="s">
        <v>73</v>
      </c>
      <c r="Q868">
        <v>3.1</v>
      </c>
      <c r="R868" t="s">
        <v>159</v>
      </c>
      <c r="S868" t="s">
        <v>49</v>
      </c>
      <c r="T868">
        <v>2024</v>
      </c>
    </row>
    <row r="869" spans="1:20" x14ac:dyDescent="0.3">
      <c r="A869" t="s">
        <v>1332</v>
      </c>
      <c r="B869" t="s">
        <v>146</v>
      </c>
      <c r="C869" t="s">
        <v>34</v>
      </c>
      <c r="D869" t="s">
        <v>23</v>
      </c>
      <c r="E869" t="s">
        <v>24</v>
      </c>
      <c r="F869" t="s">
        <v>54</v>
      </c>
      <c r="G869" t="s">
        <v>201</v>
      </c>
      <c r="H869" t="s">
        <v>91</v>
      </c>
      <c r="I869" t="s">
        <v>57</v>
      </c>
      <c r="J869">
        <v>3</v>
      </c>
      <c r="K869">
        <v>40986.82</v>
      </c>
      <c r="L869">
        <v>15</v>
      </c>
      <c r="M869">
        <v>122960.46</v>
      </c>
      <c r="N869">
        <v>86233.25</v>
      </c>
      <c r="O869">
        <v>36727.21</v>
      </c>
      <c r="P869" t="s">
        <v>113</v>
      </c>
      <c r="Q869">
        <v>3.5</v>
      </c>
      <c r="R869" t="s">
        <v>30</v>
      </c>
      <c r="S869" t="s">
        <v>87</v>
      </c>
      <c r="T869">
        <v>2025</v>
      </c>
    </row>
    <row r="870" spans="1:20" x14ac:dyDescent="0.3">
      <c r="A870" t="s">
        <v>1333</v>
      </c>
      <c r="B870" t="s">
        <v>719</v>
      </c>
      <c r="C870" t="s">
        <v>136</v>
      </c>
      <c r="D870" t="s">
        <v>23</v>
      </c>
      <c r="E870" t="s">
        <v>24</v>
      </c>
      <c r="F870" t="s">
        <v>62</v>
      </c>
      <c r="G870" t="s">
        <v>71</v>
      </c>
      <c r="H870" t="s">
        <v>271</v>
      </c>
      <c r="I870" t="s">
        <v>165</v>
      </c>
      <c r="J870">
        <v>4</v>
      </c>
      <c r="K870">
        <v>32863.879999999997</v>
      </c>
      <c r="L870">
        <v>15</v>
      </c>
      <c r="M870">
        <v>131455.51999999999</v>
      </c>
      <c r="N870">
        <v>85712.91</v>
      </c>
      <c r="O870">
        <v>45742.61</v>
      </c>
      <c r="P870" t="s">
        <v>73</v>
      </c>
      <c r="Q870">
        <v>4.9000000000000004</v>
      </c>
      <c r="R870" t="s">
        <v>30</v>
      </c>
      <c r="S870" t="s">
        <v>94</v>
      </c>
      <c r="T870">
        <v>2024</v>
      </c>
    </row>
    <row r="871" spans="1:20" x14ac:dyDescent="0.3">
      <c r="A871" t="s">
        <v>1334</v>
      </c>
      <c r="B871" t="s">
        <v>1244</v>
      </c>
      <c r="C871" t="s">
        <v>34</v>
      </c>
      <c r="D871" t="s">
        <v>98</v>
      </c>
      <c r="E871" t="s">
        <v>99</v>
      </c>
      <c r="F871" t="s">
        <v>45</v>
      </c>
      <c r="G871" t="s">
        <v>46</v>
      </c>
      <c r="H871" t="s">
        <v>100</v>
      </c>
      <c r="I871" t="s">
        <v>48</v>
      </c>
      <c r="J871">
        <v>4</v>
      </c>
      <c r="K871">
        <v>37424.589999999997</v>
      </c>
      <c r="L871">
        <v>30</v>
      </c>
      <c r="M871">
        <v>149698.35999999999</v>
      </c>
      <c r="N871">
        <v>102788.02</v>
      </c>
      <c r="O871">
        <v>46910.34</v>
      </c>
      <c r="P871" t="s">
        <v>144</v>
      </c>
      <c r="Q871">
        <v>1.2</v>
      </c>
      <c r="R871" t="s">
        <v>30</v>
      </c>
      <c r="S871" t="s">
        <v>162</v>
      </c>
      <c r="T871">
        <v>2024</v>
      </c>
    </row>
    <row r="872" spans="1:20" x14ac:dyDescent="0.3">
      <c r="A872" t="s">
        <v>1335</v>
      </c>
      <c r="B872" t="s">
        <v>547</v>
      </c>
      <c r="C872" t="s">
        <v>136</v>
      </c>
      <c r="D872" t="s">
        <v>98</v>
      </c>
      <c r="E872" t="s">
        <v>99</v>
      </c>
      <c r="F872" t="s">
        <v>62</v>
      </c>
      <c r="G872" t="s">
        <v>63</v>
      </c>
      <c r="H872" t="s">
        <v>83</v>
      </c>
      <c r="I872" t="s">
        <v>65</v>
      </c>
      <c r="J872">
        <v>2</v>
      </c>
      <c r="K872">
        <v>36930.76</v>
      </c>
      <c r="L872">
        <v>15</v>
      </c>
      <c r="M872">
        <v>73861.52</v>
      </c>
      <c r="N872">
        <v>62481.09</v>
      </c>
      <c r="O872">
        <v>11380.43</v>
      </c>
      <c r="P872" t="s">
        <v>29</v>
      </c>
      <c r="Q872">
        <v>1.9</v>
      </c>
      <c r="R872" t="s">
        <v>159</v>
      </c>
      <c r="S872" t="s">
        <v>49</v>
      </c>
      <c r="T872">
        <v>2024</v>
      </c>
    </row>
    <row r="873" spans="1:20" x14ac:dyDescent="0.3">
      <c r="A873" t="s">
        <v>1336</v>
      </c>
      <c r="B873" t="s">
        <v>491</v>
      </c>
      <c r="C873" t="s">
        <v>61</v>
      </c>
      <c r="D873" t="s">
        <v>23</v>
      </c>
      <c r="E873" t="s">
        <v>24</v>
      </c>
      <c r="F873" t="s">
        <v>25</v>
      </c>
      <c r="G873" t="s">
        <v>26</v>
      </c>
      <c r="H873" t="s">
        <v>129</v>
      </c>
      <c r="I873" t="s">
        <v>28</v>
      </c>
      <c r="J873">
        <v>1</v>
      </c>
      <c r="K873">
        <v>40379.730000000003</v>
      </c>
      <c r="L873">
        <v>25</v>
      </c>
      <c r="M873">
        <v>40379.730000000003</v>
      </c>
      <c r="N873">
        <v>28268.95</v>
      </c>
      <c r="O873">
        <v>12110.78</v>
      </c>
      <c r="P873" t="s">
        <v>113</v>
      </c>
      <c r="Q873">
        <v>3.8</v>
      </c>
      <c r="R873" t="s">
        <v>30</v>
      </c>
      <c r="S873" t="s">
        <v>58</v>
      </c>
      <c r="T873">
        <v>2024</v>
      </c>
    </row>
    <row r="874" spans="1:20" x14ac:dyDescent="0.3">
      <c r="A874" t="s">
        <v>1337</v>
      </c>
      <c r="B874" t="s">
        <v>1338</v>
      </c>
      <c r="C874" t="s">
        <v>22</v>
      </c>
      <c r="D874" t="s">
        <v>23</v>
      </c>
      <c r="E874" t="s">
        <v>24</v>
      </c>
      <c r="F874" t="s">
        <v>37</v>
      </c>
      <c r="G874" t="s">
        <v>38</v>
      </c>
      <c r="H874" t="s">
        <v>140</v>
      </c>
      <c r="I874" t="s">
        <v>40</v>
      </c>
      <c r="J874">
        <v>5</v>
      </c>
      <c r="K874">
        <v>16938.75</v>
      </c>
      <c r="L874">
        <v>10</v>
      </c>
      <c r="M874">
        <v>84693.75</v>
      </c>
      <c r="N874">
        <v>67808.100000000006</v>
      </c>
      <c r="O874">
        <v>16885.650000000001</v>
      </c>
      <c r="P874" t="s">
        <v>29</v>
      </c>
      <c r="Q874">
        <v>3.2</v>
      </c>
      <c r="R874" t="s">
        <v>30</v>
      </c>
      <c r="S874" t="s">
        <v>102</v>
      </c>
      <c r="T874">
        <v>2024</v>
      </c>
    </row>
    <row r="875" spans="1:20" x14ac:dyDescent="0.3">
      <c r="A875" t="s">
        <v>1339</v>
      </c>
      <c r="B875" t="s">
        <v>295</v>
      </c>
      <c r="C875" t="s">
        <v>136</v>
      </c>
      <c r="D875" t="s">
        <v>125</v>
      </c>
      <c r="E875" t="s">
        <v>139</v>
      </c>
      <c r="F875" t="s">
        <v>37</v>
      </c>
      <c r="G875" t="s">
        <v>38</v>
      </c>
      <c r="H875" t="s">
        <v>327</v>
      </c>
      <c r="I875" t="s">
        <v>40</v>
      </c>
      <c r="J875">
        <v>5</v>
      </c>
      <c r="K875">
        <v>2415.3200000000002</v>
      </c>
      <c r="L875">
        <v>25</v>
      </c>
      <c r="M875">
        <v>12076.6</v>
      </c>
      <c r="N875">
        <v>10139.32</v>
      </c>
      <c r="O875">
        <v>1937.28</v>
      </c>
      <c r="P875" t="s">
        <v>113</v>
      </c>
      <c r="Q875">
        <v>3.2</v>
      </c>
      <c r="R875" t="s">
        <v>30</v>
      </c>
      <c r="S875" t="s">
        <v>31</v>
      </c>
      <c r="T875">
        <v>2024</v>
      </c>
    </row>
    <row r="876" spans="1:20" x14ac:dyDescent="0.3">
      <c r="A876" t="s">
        <v>1340</v>
      </c>
      <c r="B876" t="s">
        <v>455</v>
      </c>
      <c r="C876" t="s">
        <v>168</v>
      </c>
      <c r="D876" t="s">
        <v>125</v>
      </c>
      <c r="E876" t="s">
        <v>126</v>
      </c>
      <c r="F876" t="s">
        <v>45</v>
      </c>
      <c r="G876" t="s">
        <v>46</v>
      </c>
      <c r="H876" t="s">
        <v>176</v>
      </c>
      <c r="I876" t="s">
        <v>48</v>
      </c>
      <c r="J876">
        <v>3</v>
      </c>
      <c r="K876">
        <v>49127.14</v>
      </c>
      <c r="L876">
        <v>20</v>
      </c>
      <c r="M876">
        <v>147381.42000000001</v>
      </c>
      <c r="N876">
        <v>123290.39</v>
      </c>
      <c r="O876">
        <v>24091.03</v>
      </c>
      <c r="P876" t="s">
        <v>41</v>
      </c>
      <c r="Q876">
        <v>1</v>
      </c>
      <c r="R876" t="s">
        <v>30</v>
      </c>
      <c r="S876" t="s">
        <v>162</v>
      </c>
      <c r="T876">
        <v>2024</v>
      </c>
    </row>
    <row r="877" spans="1:20" x14ac:dyDescent="0.3">
      <c r="A877" t="s">
        <v>1341</v>
      </c>
      <c r="B877" t="s">
        <v>1342</v>
      </c>
      <c r="C877" t="s">
        <v>200</v>
      </c>
      <c r="D877" t="s">
        <v>98</v>
      </c>
      <c r="E877" t="s">
        <v>99</v>
      </c>
      <c r="F877" t="s">
        <v>37</v>
      </c>
      <c r="G877" t="s">
        <v>38</v>
      </c>
      <c r="H877" t="s">
        <v>86</v>
      </c>
      <c r="I877" t="s">
        <v>40</v>
      </c>
      <c r="J877">
        <v>3</v>
      </c>
      <c r="K877">
        <v>1416.84</v>
      </c>
      <c r="L877">
        <v>25</v>
      </c>
      <c r="M877">
        <v>4250.5200000000004</v>
      </c>
      <c r="N877">
        <v>2990.96</v>
      </c>
      <c r="O877">
        <v>1259.56</v>
      </c>
      <c r="P877" t="s">
        <v>144</v>
      </c>
      <c r="Q877">
        <v>1.8</v>
      </c>
      <c r="R877" t="s">
        <v>30</v>
      </c>
      <c r="S877" t="s">
        <v>119</v>
      </c>
      <c r="T877">
        <v>2024</v>
      </c>
    </row>
    <row r="878" spans="1:20" x14ac:dyDescent="0.3">
      <c r="A878" t="s">
        <v>1343</v>
      </c>
      <c r="B878" t="s">
        <v>1344</v>
      </c>
      <c r="C878" t="s">
        <v>200</v>
      </c>
      <c r="D878" t="s">
        <v>132</v>
      </c>
      <c r="E878" t="s">
        <v>133</v>
      </c>
      <c r="F878" t="s">
        <v>45</v>
      </c>
      <c r="G878" t="s">
        <v>46</v>
      </c>
      <c r="H878" t="s">
        <v>176</v>
      </c>
      <c r="I878" t="s">
        <v>101</v>
      </c>
      <c r="J878">
        <v>3</v>
      </c>
      <c r="K878">
        <v>21112.13</v>
      </c>
      <c r="L878">
        <v>30</v>
      </c>
      <c r="M878">
        <v>63336.39</v>
      </c>
      <c r="N878">
        <v>45352.43</v>
      </c>
      <c r="O878">
        <v>17983.96</v>
      </c>
      <c r="P878" t="s">
        <v>41</v>
      </c>
      <c r="Q878">
        <v>1.9</v>
      </c>
      <c r="R878" t="s">
        <v>30</v>
      </c>
      <c r="S878" t="s">
        <v>162</v>
      </c>
      <c r="T878">
        <v>2024</v>
      </c>
    </row>
    <row r="879" spans="1:20" x14ac:dyDescent="0.3">
      <c r="A879" t="s">
        <v>1345</v>
      </c>
      <c r="B879" t="s">
        <v>482</v>
      </c>
      <c r="C879" t="s">
        <v>61</v>
      </c>
      <c r="D879" t="s">
        <v>52</v>
      </c>
      <c r="E879" t="s">
        <v>53</v>
      </c>
      <c r="F879" t="s">
        <v>45</v>
      </c>
      <c r="G879" t="s">
        <v>46</v>
      </c>
      <c r="H879" t="s">
        <v>106</v>
      </c>
      <c r="I879" t="s">
        <v>48</v>
      </c>
      <c r="J879">
        <v>5</v>
      </c>
      <c r="K879">
        <v>13061.91</v>
      </c>
      <c r="L879">
        <v>20</v>
      </c>
      <c r="M879">
        <v>65309.55</v>
      </c>
      <c r="N879">
        <v>45294.98</v>
      </c>
      <c r="O879">
        <v>20014.57</v>
      </c>
      <c r="P879" t="s">
        <v>29</v>
      </c>
      <c r="Q879">
        <v>1.9</v>
      </c>
      <c r="R879" t="s">
        <v>30</v>
      </c>
      <c r="S879" t="s">
        <v>74</v>
      </c>
      <c r="T879">
        <v>2024</v>
      </c>
    </row>
    <row r="880" spans="1:20" x14ac:dyDescent="0.3">
      <c r="A880" t="s">
        <v>1346</v>
      </c>
      <c r="B880" t="s">
        <v>559</v>
      </c>
      <c r="C880" t="s">
        <v>61</v>
      </c>
      <c r="D880" t="s">
        <v>132</v>
      </c>
      <c r="E880" t="s">
        <v>158</v>
      </c>
      <c r="F880" t="s">
        <v>25</v>
      </c>
      <c r="G880" t="s">
        <v>111</v>
      </c>
      <c r="H880" t="s">
        <v>235</v>
      </c>
      <c r="I880" t="s">
        <v>28</v>
      </c>
      <c r="J880">
        <v>5</v>
      </c>
      <c r="K880">
        <v>7465.89</v>
      </c>
      <c r="L880">
        <v>10</v>
      </c>
      <c r="M880">
        <v>37329.449999999997</v>
      </c>
      <c r="N880">
        <v>29920.240000000002</v>
      </c>
      <c r="O880">
        <v>7409.21</v>
      </c>
      <c r="P880" t="s">
        <v>29</v>
      </c>
      <c r="Q880">
        <v>4.4000000000000004</v>
      </c>
      <c r="R880" t="s">
        <v>30</v>
      </c>
      <c r="S880" t="s">
        <v>94</v>
      </c>
      <c r="T880">
        <v>2024</v>
      </c>
    </row>
    <row r="881" spans="1:20" x14ac:dyDescent="0.3">
      <c r="A881" t="s">
        <v>1347</v>
      </c>
      <c r="B881" t="s">
        <v>385</v>
      </c>
      <c r="C881" t="s">
        <v>22</v>
      </c>
      <c r="D881" t="s">
        <v>81</v>
      </c>
      <c r="E881" t="s">
        <v>149</v>
      </c>
      <c r="F881" t="s">
        <v>25</v>
      </c>
      <c r="G881" t="s">
        <v>26</v>
      </c>
      <c r="H881" t="s">
        <v>221</v>
      </c>
      <c r="I881" t="s">
        <v>112</v>
      </c>
      <c r="J881">
        <v>1</v>
      </c>
      <c r="K881">
        <v>38005.050000000003</v>
      </c>
      <c r="L881">
        <v>20</v>
      </c>
      <c r="M881">
        <v>38005.050000000003</v>
      </c>
      <c r="N881">
        <v>29093.61</v>
      </c>
      <c r="O881">
        <v>8911.44</v>
      </c>
      <c r="P881" t="s">
        <v>41</v>
      </c>
      <c r="Q881">
        <v>4</v>
      </c>
      <c r="R881" t="s">
        <v>30</v>
      </c>
      <c r="S881" t="s">
        <v>87</v>
      </c>
      <c r="T881">
        <v>2025</v>
      </c>
    </row>
    <row r="882" spans="1:20" x14ac:dyDescent="0.3">
      <c r="A882" t="s">
        <v>1348</v>
      </c>
      <c r="B882" t="s">
        <v>397</v>
      </c>
      <c r="C882" t="s">
        <v>34</v>
      </c>
      <c r="D882" t="s">
        <v>81</v>
      </c>
      <c r="E882" t="s">
        <v>128</v>
      </c>
      <c r="F882" t="s">
        <v>37</v>
      </c>
      <c r="G882" t="s">
        <v>38</v>
      </c>
      <c r="H882" t="s">
        <v>140</v>
      </c>
      <c r="I882" t="s">
        <v>40</v>
      </c>
      <c r="J882">
        <v>5</v>
      </c>
      <c r="K882">
        <v>42307.18</v>
      </c>
      <c r="L882">
        <v>10</v>
      </c>
      <c r="M882">
        <v>211535.9</v>
      </c>
      <c r="N882">
        <v>147160.98000000001</v>
      </c>
      <c r="O882">
        <v>64374.92</v>
      </c>
      <c r="P882" t="s">
        <v>113</v>
      </c>
      <c r="Q882">
        <v>4.0999999999999996</v>
      </c>
      <c r="R882" t="s">
        <v>30</v>
      </c>
      <c r="S882" t="s">
        <v>162</v>
      </c>
      <c r="T882">
        <v>2024</v>
      </c>
    </row>
    <row r="883" spans="1:20" x14ac:dyDescent="0.3">
      <c r="A883" t="s">
        <v>1349</v>
      </c>
      <c r="B883" t="s">
        <v>580</v>
      </c>
      <c r="C883" t="s">
        <v>80</v>
      </c>
      <c r="D883" t="s">
        <v>132</v>
      </c>
      <c r="E883" t="s">
        <v>158</v>
      </c>
      <c r="F883" t="s">
        <v>62</v>
      </c>
      <c r="G883" t="s">
        <v>71</v>
      </c>
      <c r="H883" t="s">
        <v>72</v>
      </c>
      <c r="I883" t="s">
        <v>165</v>
      </c>
      <c r="J883">
        <v>3</v>
      </c>
      <c r="K883">
        <v>28727.4</v>
      </c>
      <c r="L883">
        <v>10</v>
      </c>
      <c r="M883">
        <v>86182.2</v>
      </c>
      <c r="N883">
        <v>71360.2</v>
      </c>
      <c r="O883">
        <v>14822</v>
      </c>
      <c r="P883" t="s">
        <v>113</v>
      </c>
      <c r="Q883">
        <v>4.7</v>
      </c>
      <c r="R883" t="s">
        <v>30</v>
      </c>
      <c r="S883" t="s">
        <v>49</v>
      </c>
      <c r="T883">
        <v>2024</v>
      </c>
    </row>
    <row r="884" spans="1:20" x14ac:dyDescent="0.3">
      <c r="A884" t="s">
        <v>1350</v>
      </c>
      <c r="B884" t="s">
        <v>589</v>
      </c>
      <c r="C884" t="s">
        <v>97</v>
      </c>
      <c r="D884" t="s">
        <v>81</v>
      </c>
      <c r="E884" t="s">
        <v>149</v>
      </c>
      <c r="F884" t="s">
        <v>45</v>
      </c>
      <c r="G884" t="s">
        <v>105</v>
      </c>
      <c r="H884" t="s">
        <v>176</v>
      </c>
      <c r="I884" t="s">
        <v>169</v>
      </c>
      <c r="J884">
        <v>3</v>
      </c>
      <c r="K884">
        <v>8465.2800000000007</v>
      </c>
      <c r="L884">
        <v>15</v>
      </c>
      <c r="M884">
        <v>25395.84</v>
      </c>
      <c r="N884">
        <v>20299.080000000002</v>
      </c>
      <c r="O884">
        <v>5096.76</v>
      </c>
      <c r="P884" t="s">
        <v>122</v>
      </c>
      <c r="Q884">
        <v>1.8</v>
      </c>
      <c r="R884" t="s">
        <v>30</v>
      </c>
      <c r="S884" t="s">
        <v>42</v>
      </c>
      <c r="T884">
        <v>2024</v>
      </c>
    </row>
    <row r="885" spans="1:20" x14ac:dyDescent="0.3">
      <c r="A885" t="s">
        <v>1351</v>
      </c>
      <c r="B885" t="s">
        <v>547</v>
      </c>
      <c r="C885" t="s">
        <v>168</v>
      </c>
      <c r="D885" t="s">
        <v>69</v>
      </c>
      <c r="E885" t="s">
        <v>70</v>
      </c>
      <c r="F885" t="s">
        <v>25</v>
      </c>
      <c r="G885" t="s">
        <v>111</v>
      </c>
      <c r="H885" t="s">
        <v>129</v>
      </c>
      <c r="I885" t="s">
        <v>28</v>
      </c>
      <c r="J885">
        <v>3</v>
      </c>
      <c r="K885">
        <v>17194.75</v>
      </c>
      <c r="L885">
        <v>10</v>
      </c>
      <c r="M885">
        <v>51584.25</v>
      </c>
      <c r="N885">
        <v>35350.480000000003</v>
      </c>
      <c r="O885">
        <v>16233.77</v>
      </c>
      <c r="P885" t="s">
        <v>73</v>
      </c>
      <c r="Q885">
        <v>1.9</v>
      </c>
      <c r="R885" t="s">
        <v>30</v>
      </c>
      <c r="S885" t="s">
        <v>49</v>
      </c>
      <c r="T885">
        <v>2024</v>
      </c>
    </row>
    <row r="886" spans="1:20" x14ac:dyDescent="0.3">
      <c r="A886" t="s">
        <v>1352</v>
      </c>
      <c r="B886" t="s">
        <v>714</v>
      </c>
      <c r="C886" t="s">
        <v>34</v>
      </c>
      <c r="D886" t="s">
        <v>125</v>
      </c>
      <c r="E886" t="s">
        <v>126</v>
      </c>
      <c r="F886" t="s">
        <v>37</v>
      </c>
      <c r="G886" t="s">
        <v>38</v>
      </c>
      <c r="H886" t="s">
        <v>77</v>
      </c>
      <c r="I886" t="s">
        <v>40</v>
      </c>
      <c r="J886">
        <v>4</v>
      </c>
      <c r="K886">
        <v>26550.66</v>
      </c>
      <c r="L886">
        <v>10</v>
      </c>
      <c r="M886">
        <v>106202.64</v>
      </c>
      <c r="N886">
        <v>73397.33</v>
      </c>
      <c r="O886">
        <v>32805.31</v>
      </c>
      <c r="P886" t="s">
        <v>113</v>
      </c>
      <c r="Q886">
        <v>3.3</v>
      </c>
      <c r="R886" t="s">
        <v>30</v>
      </c>
      <c r="S886" t="s">
        <v>94</v>
      </c>
      <c r="T886">
        <v>2024</v>
      </c>
    </row>
    <row r="887" spans="1:20" x14ac:dyDescent="0.3">
      <c r="A887" t="s">
        <v>1353</v>
      </c>
      <c r="B887" t="s">
        <v>1253</v>
      </c>
      <c r="C887" t="s">
        <v>136</v>
      </c>
      <c r="D887" t="s">
        <v>125</v>
      </c>
      <c r="E887" t="s">
        <v>139</v>
      </c>
      <c r="F887" t="s">
        <v>25</v>
      </c>
      <c r="G887" t="s">
        <v>111</v>
      </c>
      <c r="H887" t="s">
        <v>27</v>
      </c>
      <c r="I887" t="s">
        <v>28</v>
      </c>
      <c r="J887">
        <v>4</v>
      </c>
      <c r="K887">
        <v>24335.78</v>
      </c>
      <c r="L887">
        <v>25</v>
      </c>
      <c r="M887">
        <v>97343.12</v>
      </c>
      <c r="N887">
        <v>79527.929999999993</v>
      </c>
      <c r="O887">
        <v>17815.189999999999</v>
      </c>
      <c r="P887" t="s">
        <v>41</v>
      </c>
      <c r="Q887">
        <v>3.1</v>
      </c>
      <c r="R887" t="s">
        <v>30</v>
      </c>
      <c r="S887" t="s">
        <v>107</v>
      </c>
      <c r="T887">
        <v>2024</v>
      </c>
    </row>
    <row r="888" spans="1:20" x14ac:dyDescent="0.3">
      <c r="A888" t="s">
        <v>1354</v>
      </c>
      <c r="B888" t="s">
        <v>1080</v>
      </c>
      <c r="C888" t="s">
        <v>97</v>
      </c>
      <c r="D888" t="s">
        <v>132</v>
      </c>
      <c r="E888" t="s">
        <v>133</v>
      </c>
      <c r="F888" t="s">
        <v>62</v>
      </c>
      <c r="G888" t="s">
        <v>63</v>
      </c>
      <c r="H888" t="s">
        <v>271</v>
      </c>
      <c r="I888" t="s">
        <v>165</v>
      </c>
      <c r="J888">
        <v>1</v>
      </c>
      <c r="K888">
        <v>17308.52</v>
      </c>
      <c r="L888">
        <v>25</v>
      </c>
      <c r="M888">
        <v>17308.52</v>
      </c>
      <c r="N888">
        <v>11692.51</v>
      </c>
      <c r="O888">
        <v>5616.01</v>
      </c>
      <c r="P888" t="s">
        <v>144</v>
      </c>
      <c r="Q888">
        <v>2.2000000000000002</v>
      </c>
      <c r="R888" t="s">
        <v>30</v>
      </c>
      <c r="S888" t="s">
        <v>74</v>
      </c>
      <c r="T888">
        <v>2024</v>
      </c>
    </row>
    <row r="889" spans="1:20" x14ac:dyDescent="0.3">
      <c r="A889" t="s">
        <v>1355</v>
      </c>
      <c r="B889" t="s">
        <v>580</v>
      </c>
      <c r="C889" t="s">
        <v>80</v>
      </c>
      <c r="D889" t="s">
        <v>125</v>
      </c>
      <c r="E889" t="s">
        <v>139</v>
      </c>
      <c r="F889" t="s">
        <v>54</v>
      </c>
      <c r="G889" t="s">
        <v>55</v>
      </c>
      <c r="H889" t="s">
        <v>179</v>
      </c>
      <c r="I889" t="s">
        <v>118</v>
      </c>
      <c r="J889">
        <v>1</v>
      </c>
      <c r="K889">
        <v>18097.79</v>
      </c>
      <c r="L889">
        <v>10</v>
      </c>
      <c r="M889">
        <v>18097.79</v>
      </c>
      <c r="N889">
        <v>14540.55</v>
      </c>
      <c r="O889">
        <v>3557.24</v>
      </c>
      <c r="P889" t="s">
        <v>144</v>
      </c>
      <c r="Q889">
        <v>3.8</v>
      </c>
      <c r="R889" t="s">
        <v>159</v>
      </c>
      <c r="S889" t="s">
        <v>49</v>
      </c>
      <c r="T889">
        <v>2024</v>
      </c>
    </row>
    <row r="890" spans="1:20" x14ac:dyDescent="0.3">
      <c r="A890" t="s">
        <v>1356</v>
      </c>
      <c r="B890" t="s">
        <v>187</v>
      </c>
      <c r="C890" t="s">
        <v>22</v>
      </c>
      <c r="D890" t="s">
        <v>125</v>
      </c>
      <c r="E890" t="s">
        <v>139</v>
      </c>
      <c r="F890" t="s">
        <v>25</v>
      </c>
      <c r="G890" t="s">
        <v>111</v>
      </c>
      <c r="H890" t="s">
        <v>129</v>
      </c>
      <c r="I890" t="s">
        <v>112</v>
      </c>
      <c r="J890">
        <v>2</v>
      </c>
      <c r="K890">
        <v>45792.57</v>
      </c>
      <c r="L890">
        <v>5</v>
      </c>
      <c r="M890">
        <v>91585.14</v>
      </c>
      <c r="N890">
        <v>66086.600000000006</v>
      </c>
      <c r="O890">
        <v>25498.54</v>
      </c>
      <c r="P890" t="s">
        <v>122</v>
      </c>
      <c r="Q890">
        <v>3.1</v>
      </c>
      <c r="R890" t="s">
        <v>30</v>
      </c>
      <c r="S890" t="s">
        <v>119</v>
      </c>
      <c r="T890">
        <v>2024</v>
      </c>
    </row>
    <row r="891" spans="1:20" x14ac:dyDescent="0.3">
      <c r="A891" t="s">
        <v>1357</v>
      </c>
      <c r="B891" t="s">
        <v>887</v>
      </c>
      <c r="C891" t="s">
        <v>61</v>
      </c>
      <c r="D891" t="s">
        <v>23</v>
      </c>
      <c r="E891" t="s">
        <v>24</v>
      </c>
      <c r="F891" t="s">
        <v>45</v>
      </c>
      <c r="G891" t="s">
        <v>46</v>
      </c>
      <c r="H891" t="s">
        <v>176</v>
      </c>
      <c r="I891" t="s">
        <v>48</v>
      </c>
      <c r="J891">
        <v>4</v>
      </c>
      <c r="K891">
        <v>35879.79</v>
      </c>
      <c r="L891">
        <v>5</v>
      </c>
      <c r="M891">
        <v>143519.16</v>
      </c>
      <c r="N891">
        <v>114359.84</v>
      </c>
      <c r="O891">
        <v>29159.32</v>
      </c>
      <c r="P891" t="s">
        <v>41</v>
      </c>
      <c r="Q891">
        <v>4.4000000000000004</v>
      </c>
      <c r="R891" t="s">
        <v>30</v>
      </c>
      <c r="S891" t="s">
        <v>94</v>
      </c>
      <c r="T891">
        <v>2024</v>
      </c>
    </row>
    <row r="892" spans="1:20" x14ac:dyDescent="0.3">
      <c r="A892" t="s">
        <v>1358</v>
      </c>
      <c r="B892" t="s">
        <v>161</v>
      </c>
      <c r="C892" t="s">
        <v>34</v>
      </c>
      <c r="D892" t="s">
        <v>52</v>
      </c>
      <c r="E892" t="s">
        <v>110</v>
      </c>
      <c r="F892" t="s">
        <v>62</v>
      </c>
      <c r="G892" t="s">
        <v>63</v>
      </c>
      <c r="H892" t="s">
        <v>64</v>
      </c>
      <c r="I892" t="s">
        <v>165</v>
      </c>
      <c r="J892">
        <v>3</v>
      </c>
      <c r="K892">
        <v>16158.74</v>
      </c>
      <c r="L892">
        <v>5</v>
      </c>
      <c r="M892">
        <v>48476.22</v>
      </c>
      <c r="N892">
        <v>33703.839999999997</v>
      </c>
      <c r="O892">
        <v>14772.38</v>
      </c>
      <c r="P892" t="s">
        <v>113</v>
      </c>
      <c r="Q892">
        <v>4.2</v>
      </c>
      <c r="R892" t="s">
        <v>30</v>
      </c>
      <c r="S892" t="s">
        <v>162</v>
      </c>
      <c r="T892">
        <v>2024</v>
      </c>
    </row>
    <row r="893" spans="1:20" x14ac:dyDescent="0.3">
      <c r="A893" t="s">
        <v>1359</v>
      </c>
      <c r="B893" t="s">
        <v>582</v>
      </c>
      <c r="C893" t="s">
        <v>61</v>
      </c>
      <c r="D893" t="s">
        <v>52</v>
      </c>
      <c r="E893" t="s">
        <v>110</v>
      </c>
      <c r="F893" t="s">
        <v>37</v>
      </c>
      <c r="G893" t="s">
        <v>38</v>
      </c>
      <c r="H893" t="s">
        <v>39</v>
      </c>
      <c r="I893" t="s">
        <v>40</v>
      </c>
      <c r="J893">
        <v>1</v>
      </c>
      <c r="K893">
        <v>15387.4</v>
      </c>
      <c r="L893">
        <v>15</v>
      </c>
      <c r="M893">
        <v>15387.4</v>
      </c>
      <c r="N893">
        <v>12688.95</v>
      </c>
      <c r="O893">
        <v>2698.45</v>
      </c>
      <c r="P893" t="s">
        <v>41</v>
      </c>
      <c r="Q893">
        <v>4.2</v>
      </c>
      <c r="R893" t="s">
        <v>30</v>
      </c>
      <c r="S893" t="s">
        <v>94</v>
      </c>
      <c r="T893">
        <v>2024</v>
      </c>
    </row>
    <row r="894" spans="1:20" x14ac:dyDescent="0.3">
      <c r="A894" t="s">
        <v>1360</v>
      </c>
      <c r="B894" t="s">
        <v>205</v>
      </c>
      <c r="C894" t="s">
        <v>80</v>
      </c>
      <c r="D894" t="s">
        <v>35</v>
      </c>
      <c r="E894" t="s">
        <v>36</v>
      </c>
      <c r="F894" t="s">
        <v>25</v>
      </c>
      <c r="G894" t="s">
        <v>26</v>
      </c>
      <c r="H894" t="s">
        <v>221</v>
      </c>
      <c r="I894" t="s">
        <v>112</v>
      </c>
      <c r="J894">
        <v>5</v>
      </c>
      <c r="K894">
        <v>11134.83</v>
      </c>
      <c r="L894">
        <v>15</v>
      </c>
      <c r="M894">
        <v>55674.15</v>
      </c>
      <c r="N894">
        <v>40924.339999999997</v>
      </c>
      <c r="O894">
        <v>14749.81</v>
      </c>
      <c r="P894" t="s">
        <v>144</v>
      </c>
      <c r="Q894">
        <v>3.2</v>
      </c>
      <c r="R894" t="s">
        <v>30</v>
      </c>
      <c r="S894" t="s">
        <v>74</v>
      </c>
      <c r="T894">
        <v>2024</v>
      </c>
    </row>
    <row r="895" spans="1:20" x14ac:dyDescent="0.3">
      <c r="A895" t="s">
        <v>1361</v>
      </c>
      <c r="B895" t="s">
        <v>495</v>
      </c>
      <c r="C895" t="s">
        <v>97</v>
      </c>
      <c r="D895" t="s">
        <v>52</v>
      </c>
      <c r="E895" t="s">
        <v>53</v>
      </c>
      <c r="F895" t="s">
        <v>45</v>
      </c>
      <c r="G895" t="s">
        <v>105</v>
      </c>
      <c r="H895" t="s">
        <v>47</v>
      </c>
      <c r="I895" t="s">
        <v>169</v>
      </c>
      <c r="J895">
        <v>3</v>
      </c>
      <c r="K895">
        <v>49835.85</v>
      </c>
      <c r="L895">
        <v>15</v>
      </c>
      <c r="M895">
        <v>149507.54999999999</v>
      </c>
      <c r="N895">
        <v>117546.69</v>
      </c>
      <c r="O895">
        <v>31960.86</v>
      </c>
      <c r="P895" t="s">
        <v>122</v>
      </c>
      <c r="Q895">
        <v>4.5</v>
      </c>
      <c r="R895" t="s">
        <v>30</v>
      </c>
      <c r="S895" t="s">
        <v>31</v>
      </c>
      <c r="T895">
        <v>2024</v>
      </c>
    </row>
    <row r="896" spans="1:20" x14ac:dyDescent="0.3">
      <c r="A896" t="s">
        <v>1362</v>
      </c>
      <c r="B896" t="s">
        <v>675</v>
      </c>
      <c r="C896" t="s">
        <v>136</v>
      </c>
      <c r="D896" t="s">
        <v>98</v>
      </c>
      <c r="E896" t="s">
        <v>99</v>
      </c>
      <c r="F896" t="s">
        <v>54</v>
      </c>
      <c r="G896" t="s">
        <v>55</v>
      </c>
      <c r="H896" t="s">
        <v>92</v>
      </c>
      <c r="I896" t="s">
        <v>296</v>
      </c>
      <c r="J896">
        <v>1</v>
      </c>
      <c r="K896">
        <v>1002.29</v>
      </c>
      <c r="L896">
        <v>10</v>
      </c>
      <c r="M896">
        <v>1002.29</v>
      </c>
      <c r="N896">
        <v>664.67</v>
      </c>
      <c r="O896">
        <v>337.62</v>
      </c>
      <c r="P896" t="s">
        <v>41</v>
      </c>
      <c r="Q896">
        <v>1.4</v>
      </c>
      <c r="R896" t="s">
        <v>159</v>
      </c>
      <c r="S896" t="s">
        <v>87</v>
      </c>
      <c r="T896">
        <v>2025</v>
      </c>
    </row>
    <row r="897" spans="1:20" x14ac:dyDescent="0.3">
      <c r="A897" t="s">
        <v>1363</v>
      </c>
      <c r="B897" t="s">
        <v>1037</v>
      </c>
      <c r="C897" t="s">
        <v>90</v>
      </c>
      <c r="D897" t="s">
        <v>98</v>
      </c>
      <c r="E897" t="s">
        <v>99</v>
      </c>
      <c r="F897" t="s">
        <v>54</v>
      </c>
      <c r="G897" t="s">
        <v>228</v>
      </c>
      <c r="H897" t="s">
        <v>91</v>
      </c>
      <c r="I897" t="s">
        <v>118</v>
      </c>
      <c r="J897">
        <v>4</v>
      </c>
      <c r="K897">
        <v>26448.240000000002</v>
      </c>
      <c r="L897">
        <v>5</v>
      </c>
      <c r="M897">
        <v>105792.96000000001</v>
      </c>
      <c r="N897">
        <v>79998.899999999994</v>
      </c>
      <c r="O897">
        <v>25794.06</v>
      </c>
      <c r="P897" t="s">
        <v>144</v>
      </c>
      <c r="Q897">
        <v>1.2</v>
      </c>
      <c r="R897" t="s">
        <v>30</v>
      </c>
      <c r="S897" t="s">
        <v>78</v>
      </c>
      <c r="T897">
        <v>2024</v>
      </c>
    </row>
    <row r="898" spans="1:20" x14ac:dyDescent="0.3">
      <c r="A898" t="s">
        <v>1364</v>
      </c>
      <c r="B898" t="s">
        <v>21</v>
      </c>
      <c r="C898" t="s">
        <v>80</v>
      </c>
      <c r="D898" t="s">
        <v>81</v>
      </c>
      <c r="E898" t="s">
        <v>82</v>
      </c>
      <c r="F898" t="s">
        <v>45</v>
      </c>
      <c r="G898" t="s">
        <v>46</v>
      </c>
      <c r="H898" t="s">
        <v>106</v>
      </c>
      <c r="I898" t="s">
        <v>169</v>
      </c>
      <c r="J898">
        <v>5</v>
      </c>
      <c r="K898">
        <v>30650.46</v>
      </c>
      <c r="L898">
        <v>10</v>
      </c>
      <c r="M898">
        <v>153252.29999999999</v>
      </c>
      <c r="N898">
        <v>103643.19</v>
      </c>
      <c r="O898">
        <v>49609.11</v>
      </c>
      <c r="P898" t="s">
        <v>144</v>
      </c>
      <c r="Q898">
        <v>1.6</v>
      </c>
      <c r="R898" t="s">
        <v>30</v>
      </c>
      <c r="S898" t="s">
        <v>31</v>
      </c>
      <c r="T898">
        <v>2024</v>
      </c>
    </row>
    <row r="899" spans="1:20" x14ac:dyDescent="0.3">
      <c r="A899" t="s">
        <v>1365</v>
      </c>
      <c r="B899" t="s">
        <v>584</v>
      </c>
      <c r="C899" t="s">
        <v>97</v>
      </c>
      <c r="D899" t="s">
        <v>69</v>
      </c>
      <c r="E899" t="s">
        <v>70</v>
      </c>
      <c r="F899" t="s">
        <v>62</v>
      </c>
      <c r="G899" t="s">
        <v>71</v>
      </c>
      <c r="H899" t="s">
        <v>72</v>
      </c>
      <c r="I899" t="s">
        <v>143</v>
      </c>
      <c r="J899">
        <v>2</v>
      </c>
      <c r="K899">
        <v>31978.03</v>
      </c>
      <c r="L899">
        <v>30</v>
      </c>
      <c r="M899">
        <v>63956.06</v>
      </c>
      <c r="N899">
        <v>44235.14</v>
      </c>
      <c r="O899">
        <v>19720.919999999998</v>
      </c>
      <c r="P899" t="s">
        <v>122</v>
      </c>
      <c r="Q899">
        <v>3.7</v>
      </c>
      <c r="R899" t="s">
        <v>30</v>
      </c>
      <c r="S899" t="s">
        <v>49</v>
      </c>
      <c r="T899">
        <v>2024</v>
      </c>
    </row>
    <row r="900" spans="1:20" x14ac:dyDescent="0.3">
      <c r="A900" t="s">
        <v>1366</v>
      </c>
      <c r="B900" t="s">
        <v>510</v>
      </c>
      <c r="C900" t="s">
        <v>136</v>
      </c>
      <c r="D900" t="s">
        <v>132</v>
      </c>
      <c r="E900" t="s">
        <v>133</v>
      </c>
      <c r="F900" t="s">
        <v>37</v>
      </c>
      <c r="G900" t="s">
        <v>38</v>
      </c>
      <c r="H900" t="s">
        <v>327</v>
      </c>
      <c r="I900" t="s">
        <v>40</v>
      </c>
      <c r="J900">
        <v>1</v>
      </c>
      <c r="K900">
        <v>45516.21</v>
      </c>
      <c r="L900">
        <v>10</v>
      </c>
      <c r="M900">
        <v>45516.21</v>
      </c>
      <c r="N900">
        <v>37535.74</v>
      </c>
      <c r="O900">
        <v>7980.47</v>
      </c>
      <c r="P900" t="s">
        <v>41</v>
      </c>
      <c r="Q900">
        <v>1</v>
      </c>
      <c r="R900" t="s">
        <v>30</v>
      </c>
      <c r="S900" t="s">
        <v>78</v>
      </c>
      <c r="T900">
        <v>2024</v>
      </c>
    </row>
    <row r="901" spans="1:20" x14ac:dyDescent="0.3">
      <c r="A901" t="s">
        <v>1367</v>
      </c>
      <c r="B901" t="s">
        <v>1143</v>
      </c>
      <c r="C901" t="s">
        <v>90</v>
      </c>
      <c r="D901" t="s">
        <v>52</v>
      </c>
      <c r="E901" t="s">
        <v>53</v>
      </c>
      <c r="F901" t="s">
        <v>25</v>
      </c>
      <c r="G901" t="s">
        <v>26</v>
      </c>
      <c r="H901" t="s">
        <v>121</v>
      </c>
      <c r="I901" t="s">
        <v>28</v>
      </c>
      <c r="J901">
        <v>1</v>
      </c>
      <c r="K901">
        <v>31922.03</v>
      </c>
      <c r="L901">
        <v>15</v>
      </c>
      <c r="M901">
        <v>31922.03</v>
      </c>
      <c r="N901">
        <v>26514.9</v>
      </c>
      <c r="O901">
        <v>5407.13</v>
      </c>
      <c r="P901" t="s">
        <v>144</v>
      </c>
      <c r="Q901">
        <v>2.5</v>
      </c>
      <c r="R901" t="s">
        <v>30</v>
      </c>
      <c r="S901" t="s">
        <v>49</v>
      </c>
      <c r="T901">
        <v>2024</v>
      </c>
    </row>
    <row r="902" spans="1:20" x14ac:dyDescent="0.3">
      <c r="A902" t="s">
        <v>1368</v>
      </c>
      <c r="B902" t="s">
        <v>333</v>
      </c>
      <c r="C902" t="s">
        <v>168</v>
      </c>
      <c r="D902" t="s">
        <v>69</v>
      </c>
      <c r="E902" t="s">
        <v>155</v>
      </c>
      <c r="F902" t="s">
        <v>45</v>
      </c>
      <c r="G902" t="s">
        <v>105</v>
      </c>
      <c r="H902" t="s">
        <v>106</v>
      </c>
      <c r="I902" t="s">
        <v>48</v>
      </c>
      <c r="J902">
        <v>3</v>
      </c>
      <c r="K902">
        <v>3481.52</v>
      </c>
      <c r="L902">
        <v>10</v>
      </c>
      <c r="M902">
        <v>10444.56</v>
      </c>
      <c r="N902">
        <v>7445.18</v>
      </c>
      <c r="O902">
        <v>2999.38</v>
      </c>
      <c r="P902" t="s">
        <v>144</v>
      </c>
      <c r="Q902">
        <v>1.1000000000000001</v>
      </c>
      <c r="R902" t="s">
        <v>30</v>
      </c>
      <c r="S902" t="s">
        <v>162</v>
      </c>
      <c r="T902">
        <v>2024</v>
      </c>
    </row>
    <row r="903" spans="1:20" x14ac:dyDescent="0.3">
      <c r="A903" t="s">
        <v>1369</v>
      </c>
      <c r="B903" t="s">
        <v>1186</v>
      </c>
      <c r="C903" t="s">
        <v>168</v>
      </c>
      <c r="D903" t="s">
        <v>132</v>
      </c>
      <c r="E903" t="s">
        <v>158</v>
      </c>
      <c r="F903" t="s">
        <v>62</v>
      </c>
      <c r="G903" t="s">
        <v>71</v>
      </c>
      <c r="H903" t="s">
        <v>83</v>
      </c>
      <c r="I903" t="s">
        <v>65</v>
      </c>
      <c r="J903">
        <v>4</v>
      </c>
      <c r="K903">
        <v>27507.360000000001</v>
      </c>
      <c r="L903">
        <v>25</v>
      </c>
      <c r="M903">
        <v>110029.44</v>
      </c>
      <c r="N903">
        <v>80874.3</v>
      </c>
      <c r="O903">
        <v>29155.14</v>
      </c>
      <c r="P903" t="s">
        <v>122</v>
      </c>
      <c r="Q903">
        <v>4.5</v>
      </c>
      <c r="R903" t="s">
        <v>30</v>
      </c>
      <c r="S903" t="s">
        <v>31</v>
      </c>
      <c r="T903">
        <v>2024</v>
      </c>
    </row>
    <row r="904" spans="1:20" x14ac:dyDescent="0.3">
      <c r="A904" t="s">
        <v>1370</v>
      </c>
      <c r="B904" t="s">
        <v>607</v>
      </c>
      <c r="C904" t="s">
        <v>34</v>
      </c>
      <c r="D904" t="s">
        <v>132</v>
      </c>
      <c r="E904" t="s">
        <v>133</v>
      </c>
      <c r="F904" t="s">
        <v>62</v>
      </c>
      <c r="G904" t="s">
        <v>63</v>
      </c>
      <c r="H904" t="s">
        <v>83</v>
      </c>
      <c r="I904" t="s">
        <v>143</v>
      </c>
      <c r="J904">
        <v>5</v>
      </c>
      <c r="K904">
        <v>34870.120000000003</v>
      </c>
      <c r="L904">
        <v>10</v>
      </c>
      <c r="M904">
        <v>174350.6</v>
      </c>
      <c r="N904">
        <v>127501.22</v>
      </c>
      <c r="O904">
        <v>46849.38</v>
      </c>
      <c r="P904" t="s">
        <v>29</v>
      </c>
      <c r="Q904">
        <v>2.7</v>
      </c>
      <c r="R904" t="s">
        <v>30</v>
      </c>
      <c r="S904" t="s">
        <v>87</v>
      </c>
      <c r="T904">
        <v>2025</v>
      </c>
    </row>
    <row r="905" spans="1:20" x14ac:dyDescent="0.3">
      <c r="A905" t="s">
        <v>1371</v>
      </c>
      <c r="B905" t="s">
        <v>1074</v>
      </c>
      <c r="C905" t="s">
        <v>168</v>
      </c>
      <c r="D905" t="s">
        <v>132</v>
      </c>
      <c r="E905" t="s">
        <v>158</v>
      </c>
      <c r="F905" t="s">
        <v>62</v>
      </c>
      <c r="G905" t="s">
        <v>63</v>
      </c>
      <c r="H905" t="s">
        <v>83</v>
      </c>
      <c r="I905" t="s">
        <v>165</v>
      </c>
      <c r="J905">
        <v>1</v>
      </c>
      <c r="K905">
        <v>11540.73</v>
      </c>
      <c r="L905">
        <v>15</v>
      </c>
      <c r="M905">
        <v>11540.73</v>
      </c>
      <c r="N905">
        <v>7936.9</v>
      </c>
      <c r="O905">
        <v>3603.83</v>
      </c>
      <c r="P905" t="s">
        <v>73</v>
      </c>
      <c r="Q905">
        <v>3.6</v>
      </c>
      <c r="R905" t="s">
        <v>30</v>
      </c>
      <c r="S905" t="s">
        <v>162</v>
      </c>
      <c r="T905">
        <v>2024</v>
      </c>
    </row>
    <row r="906" spans="1:20" x14ac:dyDescent="0.3">
      <c r="A906" t="s">
        <v>1372</v>
      </c>
      <c r="B906" t="s">
        <v>672</v>
      </c>
      <c r="C906" t="s">
        <v>168</v>
      </c>
      <c r="D906" t="s">
        <v>98</v>
      </c>
      <c r="E906" t="s">
        <v>99</v>
      </c>
      <c r="F906" t="s">
        <v>54</v>
      </c>
      <c r="G906" t="s">
        <v>55</v>
      </c>
      <c r="H906" t="s">
        <v>179</v>
      </c>
      <c r="I906" t="s">
        <v>180</v>
      </c>
      <c r="J906">
        <v>4</v>
      </c>
      <c r="K906">
        <v>2926.8</v>
      </c>
      <c r="L906">
        <v>15</v>
      </c>
      <c r="M906">
        <v>11707.2</v>
      </c>
      <c r="N906">
        <v>8316.77</v>
      </c>
      <c r="O906">
        <v>3390.43</v>
      </c>
      <c r="P906" t="s">
        <v>122</v>
      </c>
      <c r="Q906">
        <v>2.2999999999999998</v>
      </c>
      <c r="R906" t="s">
        <v>30</v>
      </c>
      <c r="S906" t="s">
        <v>102</v>
      </c>
      <c r="T906">
        <v>2024</v>
      </c>
    </row>
    <row r="907" spans="1:20" x14ac:dyDescent="0.3">
      <c r="A907" t="s">
        <v>1373</v>
      </c>
      <c r="B907" t="s">
        <v>362</v>
      </c>
      <c r="C907" t="s">
        <v>97</v>
      </c>
      <c r="D907" t="s">
        <v>35</v>
      </c>
      <c r="E907" t="s">
        <v>36</v>
      </c>
      <c r="F907" t="s">
        <v>25</v>
      </c>
      <c r="G907" t="s">
        <v>111</v>
      </c>
      <c r="H907" t="s">
        <v>27</v>
      </c>
      <c r="I907" t="s">
        <v>28</v>
      </c>
      <c r="J907">
        <v>2</v>
      </c>
      <c r="K907">
        <v>37341.949999999997</v>
      </c>
      <c r="L907">
        <v>25</v>
      </c>
      <c r="M907">
        <v>74683.899999999994</v>
      </c>
      <c r="N907">
        <v>50429.440000000002</v>
      </c>
      <c r="O907">
        <v>24254.46</v>
      </c>
      <c r="P907" t="s">
        <v>29</v>
      </c>
      <c r="Q907">
        <v>4.8</v>
      </c>
      <c r="R907" t="s">
        <v>30</v>
      </c>
      <c r="S907" t="s">
        <v>74</v>
      </c>
      <c r="T907">
        <v>2024</v>
      </c>
    </row>
    <row r="908" spans="1:20" x14ac:dyDescent="0.3">
      <c r="A908" t="s">
        <v>1374</v>
      </c>
      <c r="B908" t="s">
        <v>1095</v>
      </c>
      <c r="C908" t="s">
        <v>200</v>
      </c>
      <c r="D908" t="s">
        <v>125</v>
      </c>
      <c r="E908" t="s">
        <v>139</v>
      </c>
      <c r="F908" t="s">
        <v>62</v>
      </c>
      <c r="G908" t="s">
        <v>63</v>
      </c>
      <c r="H908" t="s">
        <v>83</v>
      </c>
      <c r="I908" t="s">
        <v>143</v>
      </c>
      <c r="J908">
        <v>1</v>
      </c>
      <c r="K908">
        <v>30100.73</v>
      </c>
      <c r="L908">
        <v>25</v>
      </c>
      <c r="M908">
        <v>30100.73</v>
      </c>
      <c r="N908">
        <v>22207.94</v>
      </c>
      <c r="O908">
        <v>7892.79</v>
      </c>
      <c r="P908" t="s">
        <v>41</v>
      </c>
      <c r="Q908">
        <v>1.7</v>
      </c>
      <c r="R908" t="s">
        <v>30</v>
      </c>
      <c r="S908" t="s">
        <v>94</v>
      </c>
      <c r="T908">
        <v>2024</v>
      </c>
    </row>
    <row r="909" spans="1:20" x14ac:dyDescent="0.3">
      <c r="A909" t="s">
        <v>1375</v>
      </c>
      <c r="B909" t="s">
        <v>1328</v>
      </c>
      <c r="C909" t="s">
        <v>34</v>
      </c>
      <c r="D909" t="s">
        <v>52</v>
      </c>
      <c r="E909" t="s">
        <v>53</v>
      </c>
      <c r="F909" t="s">
        <v>37</v>
      </c>
      <c r="G909" t="s">
        <v>38</v>
      </c>
      <c r="H909" t="s">
        <v>39</v>
      </c>
      <c r="I909" t="s">
        <v>40</v>
      </c>
      <c r="J909">
        <v>3</v>
      </c>
      <c r="K909">
        <v>4442.1000000000004</v>
      </c>
      <c r="L909">
        <v>15</v>
      </c>
      <c r="M909">
        <v>13326.3</v>
      </c>
      <c r="N909">
        <v>9076.02</v>
      </c>
      <c r="O909">
        <v>4250.28</v>
      </c>
      <c r="P909" t="s">
        <v>29</v>
      </c>
      <c r="Q909">
        <v>2.8</v>
      </c>
      <c r="R909" t="s">
        <v>30</v>
      </c>
      <c r="S909" t="s">
        <v>94</v>
      </c>
      <c r="T909">
        <v>2024</v>
      </c>
    </row>
    <row r="910" spans="1:20" x14ac:dyDescent="0.3">
      <c r="A910" t="s">
        <v>1376</v>
      </c>
      <c r="B910" t="s">
        <v>246</v>
      </c>
      <c r="C910" t="s">
        <v>22</v>
      </c>
      <c r="D910" t="s">
        <v>69</v>
      </c>
      <c r="E910" t="s">
        <v>155</v>
      </c>
      <c r="F910" t="s">
        <v>62</v>
      </c>
      <c r="G910" t="s">
        <v>63</v>
      </c>
      <c r="H910" t="s">
        <v>152</v>
      </c>
      <c r="I910" t="s">
        <v>143</v>
      </c>
      <c r="J910">
        <v>5</v>
      </c>
      <c r="K910">
        <v>18657.990000000002</v>
      </c>
      <c r="L910">
        <v>25</v>
      </c>
      <c r="M910">
        <v>93289.95</v>
      </c>
      <c r="N910">
        <v>66157.23</v>
      </c>
      <c r="O910">
        <v>27132.720000000001</v>
      </c>
      <c r="P910" t="s">
        <v>144</v>
      </c>
      <c r="Q910">
        <v>1.7</v>
      </c>
      <c r="R910" t="s">
        <v>159</v>
      </c>
      <c r="S910" t="s">
        <v>87</v>
      </c>
      <c r="T910">
        <v>2025</v>
      </c>
    </row>
    <row r="911" spans="1:20" x14ac:dyDescent="0.3">
      <c r="A911" t="s">
        <v>1377</v>
      </c>
      <c r="B911" t="s">
        <v>243</v>
      </c>
      <c r="C911" t="s">
        <v>200</v>
      </c>
      <c r="D911" t="s">
        <v>52</v>
      </c>
      <c r="E911" t="s">
        <v>110</v>
      </c>
      <c r="F911" t="s">
        <v>45</v>
      </c>
      <c r="G911" t="s">
        <v>46</v>
      </c>
      <c r="H911" t="s">
        <v>188</v>
      </c>
      <c r="I911" t="s">
        <v>48</v>
      </c>
      <c r="J911">
        <v>1</v>
      </c>
      <c r="K911">
        <v>41402.76</v>
      </c>
      <c r="L911">
        <v>15</v>
      </c>
      <c r="M911">
        <v>41402.76</v>
      </c>
      <c r="N911">
        <v>32761.74</v>
      </c>
      <c r="O911">
        <v>8641.02</v>
      </c>
      <c r="P911" t="s">
        <v>122</v>
      </c>
      <c r="Q911">
        <v>3.2</v>
      </c>
      <c r="R911" t="s">
        <v>30</v>
      </c>
      <c r="S911" t="s">
        <v>78</v>
      </c>
      <c r="T911">
        <v>2024</v>
      </c>
    </row>
    <row r="912" spans="1:20" x14ac:dyDescent="0.3">
      <c r="A912" t="s">
        <v>1378</v>
      </c>
      <c r="B912" t="s">
        <v>809</v>
      </c>
      <c r="C912" t="s">
        <v>61</v>
      </c>
      <c r="D912" t="s">
        <v>125</v>
      </c>
      <c r="E912" t="s">
        <v>126</v>
      </c>
      <c r="F912" t="s">
        <v>25</v>
      </c>
      <c r="G912" t="s">
        <v>26</v>
      </c>
      <c r="H912" t="s">
        <v>27</v>
      </c>
      <c r="I912" t="s">
        <v>112</v>
      </c>
      <c r="J912">
        <v>1</v>
      </c>
      <c r="K912">
        <v>49796.61</v>
      </c>
      <c r="L912">
        <v>30</v>
      </c>
      <c r="M912">
        <v>49796.61</v>
      </c>
      <c r="N912">
        <v>40395.269999999997</v>
      </c>
      <c r="O912">
        <v>9401.34</v>
      </c>
      <c r="P912" t="s">
        <v>113</v>
      </c>
      <c r="Q912">
        <v>4.0999999999999996</v>
      </c>
      <c r="R912" t="s">
        <v>30</v>
      </c>
      <c r="S912" t="s">
        <v>74</v>
      </c>
      <c r="T912">
        <v>2024</v>
      </c>
    </row>
    <row r="913" spans="1:20" x14ac:dyDescent="0.3">
      <c r="A913" t="s">
        <v>1379</v>
      </c>
      <c r="B913" t="s">
        <v>698</v>
      </c>
      <c r="C913" t="s">
        <v>136</v>
      </c>
      <c r="D913" t="s">
        <v>98</v>
      </c>
      <c r="E913" t="s">
        <v>99</v>
      </c>
      <c r="F913" t="s">
        <v>45</v>
      </c>
      <c r="G913" t="s">
        <v>105</v>
      </c>
      <c r="H913" t="s">
        <v>100</v>
      </c>
      <c r="I913" t="s">
        <v>48</v>
      </c>
      <c r="J913">
        <v>2</v>
      </c>
      <c r="K913">
        <v>32712.91</v>
      </c>
      <c r="L913">
        <v>25</v>
      </c>
      <c r="M913">
        <v>65425.82</v>
      </c>
      <c r="N913">
        <v>46385.35</v>
      </c>
      <c r="O913">
        <v>19040.47</v>
      </c>
      <c r="P913" t="s">
        <v>144</v>
      </c>
      <c r="Q913">
        <v>4.2</v>
      </c>
      <c r="R913" t="s">
        <v>30</v>
      </c>
      <c r="S913" t="s">
        <v>49</v>
      </c>
      <c r="T913">
        <v>2024</v>
      </c>
    </row>
    <row r="914" spans="1:20" x14ac:dyDescent="0.3">
      <c r="A914" t="s">
        <v>1380</v>
      </c>
      <c r="B914" t="s">
        <v>1381</v>
      </c>
      <c r="C914" t="s">
        <v>61</v>
      </c>
      <c r="D914" t="s">
        <v>23</v>
      </c>
      <c r="E914" t="s">
        <v>24</v>
      </c>
      <c r="F914" t="s">
        <v>45</v>
      </c>
      <c r="G914" t="s">
        <v>105</v>
      </c>
      <c r="H914" t="s">
        <v>47</v>
      </c>
      <c r="I914" t="s">
        <v>169</v>
      </c>
      <c r="J914">
        <v>1</v>
      </c>
      <c r="K914">
        <v>26281.98</v>
      </c>
      <c r="L914">
        <v>10</v>
      </c>
      <c r="M914">
        <v>26281.98</v>
      </c>
      <c r="N914">
        <v>18514.86</v>
      </c>
      <c r="O914">
        <v>7767.12</v>
      </c>
      <c r="P914" t="s">
        <v>29</v>
      </c>
      <c r="Q914">
        <v>4.3</v>
      </c>
      <c r="R914" t="s">
        <v>30</v>
      </c>
      <c r="S914" t="s">
        <v>119</v>
      </c>
      <c r="T914">
        <v>2024</v>
      </c>
    </row>
    <row r="915" spans="1:20" x14ac:dyDescent="0.3">
      <c r="A915" t="s">
        <v>1382</v>
      </c>
      <c r="B915" t="s">
        <v>551</v>
      </c>
      <c r="C915" t="s">
        <v>200</v>
      </c>
      <c r="D915" t="s">
        <v>125</v>
      </c>
      <c r="E915" t="s">
        <v>126</v>
      </c>
      <c r="F915" t="s">
        <v>62</v>
      </c>
      <c r="G915" t="s">
        <v>63</v>
      </c>
      <c r="H915" t="s">
        <v>83</v>
      </c>
      <c r="I915" t="s">
        <v>65</v>
      </c>
      <c r="J915">
        <v>5</v>
      </c>
      <c r="K915">
        <v>30805.88</v>
      </c>
      <c r="L915">
        <v>5</v>
      </c>
      <c r="M915">
        <v>154029.4</v>
      </c>
      <c r="N915">
        <v>104139.59</v>
      </c>
      <c r="O915">
        <v>49889.81</v>
      </c>
      <c r="P915" t="s">
        <v>122</v>
      </c>
      <c r="Q915">
        <v>1.1000000000000001</v>
      </c>
      <c r="R915" t="s">
        <v>30</v>
      </c>
      <c r="S915" t="s">
        <v>119</v>
      </c>
      <c r="T915">
        <v>2024</v>
      </c>
    </row>
    <row r="916" spans="1:20" x14ac:dyDescent="0.3">
      <c r="A916" t="s">
        <v>1383</v>
      </c>
      <c r="B916" t="s">
        <v>76</v>
      </c>
      <c r="C916" t="s">
        <v>200</v>
      </c>
      <c r="D916" t="s">
        <v>35</v>
      </c>
      <c r="E916" t="s">
        <v>36</v>
      </c>
      <c r="F916" t="s">
        <v>37</v>
      </c>
      <c r="G916" t="s">
        <v>38</v>
      </c>
      <c r="H916" t="s">
        <v>327</v>
      </c>
      <c r="I916" t="s">
        <v>40</v>
      </c>
      <c r="J916">
        <v>5</v>
      </c>
      <c r="K916">
        <v>9045.23</v>
      </c>
      <c r="L916">
        <v>30</v>
      </c>
      <c r="M916">
        <v>45226.15</v>
      </c>
      <c r="N916">
        <v>30343.73</v>
      </c>
      <c r="O916">
        <v>14882.42</v>
      </c>
      <c r="P916" t="s">
        <v>113</v>
      </c>
      <c r="Q916">
        <v>4.5999999999999996</v>
      </c>
      <c r="R916" t="s">
        <v>30</v>
      </c>
      <c r="S916" t="s">
        <v>78</v>
      </c>
      <c r="T916">
        <v>2024</v>
      </c>
    </row>
    <row r="917" spans="1:20" x14ac:dyDescent="0.3">
      <c r="A917" t="s">
        <v>1384</v>
      </c>
      <c r="B917" t="s">
        <v>358</v>
      </c>
      <c r="C917" t="s">
        <v>168</v>
      </c>
      <c r="D917" t="s">
        <v>52</v>
      </c>
      <c r="E917" t="s">
        <v>53</v>
      </c>
      <c r="F917" t="s">
        <v>54</v>
      </c>
      <c r="G917" t="s">
        <v>201</v>
      </c>
      <c r="H917" t="s">
        <v>91</v>
      </c>
      <c r="I917" t="s">
        <v>93</v>
      </c>
      <c r="J917">
        <v>2</v>
      </c>
      <c r="K917">
        <v>16003.38</v>
      </c>
      <c r="L917">
        <v>20</v>
      </c>
      <c r="M917">
        <v>32006.76</v>
      </c>
      <c r="N917">
        <v>27147.79</v>
      </c>
      <c r="O917">
        <v>4858.97</v>
      </c>
      <c r="P917" t="s">
        <v>41</v>
      </c>
      <c r="Q917">
        <v>4.0999999999999996</v>
      </c>
      <c r="R917" t="s">
        <v>30</v>
      </c>
      <c r="S917" t="s">
        <v>31</v>
      </c>
      <c r="T917">
        <v>2024</v>
      </c>
    </row>
    <row r="918" spans="1:20" x14ac:dyDescent="0.3">
      <c r="A918" t="s">
        <v>1385</v>
      </c>
      <c r="B918" t="s">
        <v>584</v>
      </c>
      <c r="C918" t="s">
        <v>22</v>
      </c>
      <c r="D918" t="s">
        <v>69</v>
      </c>
      <c r="E918" t="s">
        <v>155</v>
      </c>
      <c r="F918" t="s">
        <v>37</v>
      </c>
      <c r="G918" t="s">
        <v>38</v>
      </c>
      <c r="H918" t="s">
        <v>39</v>
      </c>
      <c r="I918" t="s">
        <v>40</v>
      </c>
      <c r="J918">
        <v>1</v>
      </c>
      <c r="K918">
        <v>35139.53</v>
      </c>
      <c r="L918">
        <v>20</v>
      </c>
      <c r="M918">
        <v>35139.53</v>
      </c>
      <c r="N918">
        <v>23380.38</v>
      </c>
      <c r="O918">
        <v>11759.15</v>
      </c>
      <c r="P918" t="s">
        <v>73</v>
      </c>
      <c r="Q918">
        <v>2.9</v>
      </c>
      <c r="R918" t="s">
        <v>30</v>
      </c>
      <c r="S918" t="s">
        <v>49</v>
      </c>
      <c r="T918">
        <v>2024</v>
      </c>
    </row>
    <row r="919" spans="1:20" x14ac:dyDescent="0.3">
      <c r="A919" t="s">
        <v>1386</v>
      </c>
      <c r="B919" t="s">
        <v>822</v>
      </c>
      <c r="C919" t="s">
        <v>90</v>
      </c>
      <c r="D919" t="s">
        <v>23</v>
      </c>
      <c r="E919" t="s">
        <v>24</v>
      </c>
      <c r="F919" t="s">
        <v>25</v>
      </c>
      <c r="G919" t="s">
        <v>111</v>
      </c>
      <c r="H919" t="s">
        <v>221</v>
      </c>
      <c r="I919" t="s">
        <v>28</v>
      </c>
      <c r="J919">
        <v>4</v>
      </c>
      <c r="K919">
        <v>13640.1</v>
      </c>
      <c r="L919">
        <v>5</v>
      </c>
      <c r="M919">
        <v>54560.4</v>
      </c>
      <c r="N919">
        <v>40647.550000000003</v>
      </c>
      <c r="O919">
        <v>13912.85</v>
      </c>
      <c r="P919" t="s">
        <v>73</v>
      </c>
      <c r="Q919">
        <v>3.3</v>
      </c>
      <c r="R919" t="s">
        <v>30</v>
      </c>
      <c r="S919" t="s">
        <v>107</v>
      </c>
      <c r="T919">
        <v>2024</v>
      </c>
    </row>
    <row r="920" spans="1:20" x14ac:dyDescent="0.3">
      <c r="A920" t="s">
        <v>1387</v>
      </c>
      <c r="B920" t="s">
        <v>1388</v>
      </c>
      <c r="C920" t="s">
        <v>90</v>
      </c>
      <c r="D920" t="s">
        <v>69</v>
      </c>
      <c r="E920" t="s">
        <v>155</v>
      </c>
      <c r="F920" t="s">
        <v>62</v>
      </c>
      <c r="G920" t="s">
        <v>71</v>
      </c>
      <c r="H920" t="s">
        <v>64</v>
      </c>
      <c r="I920" t="s">
        <v>65</v>
      </c>
      <c r="J920">
        <v>2</v>
      </c>
      <c r="K920">
        <v>5535.76</v>
      </c>
      <c r="L920">
        <v>25</v>
      </c>
      <c r="M920">
        <v>11071.52</v>
      </c>
      <c r="N920">
        <v>8001.2</v>
      </c>
      <c r="O920">
        <v>3070.32</v>
      </c>
      <c r="P920" t="s">
        <v>41</v>
      </c>
      <c r="Q920">
        <v>3.6</v>
      </c>
      <c r="R920" t="s">
        <v>30</v>
      </c>
      <c r="S920" t="s">
        <v>102</v>
      </c>
      <c r="T920">
        <v>2025</v>
      </c>
    </row>
    <row r="921" spans="1:20" x14ac:dyDescent="0.3">
      <c r="A921" t="s">
        <v>1389</v>
      </c>
      <c r="B921" t="s">
        <v>175</v>
      </c>
      <c r="C921" t="s">
        <v>90</v>
      </c>
      <c r="D921" t="s">
        <v>81</v>
      </c>
      <c r="E921" t="s">
        <v>149</v>
      </c>
      <c r="F921" t="s">
        <v>62</v>
      </c>
      <c r="G921" t="s">
        <v>71</v>
      </c>
      <c r="H921" t="s">
        <v>72</v>
      </c>
      <c r="I921" t="s">
        <v>143</v>
      </c>
      <c r="J921">
        <v>4</v>
      </c>
      <c r="K921">
        <v>1039.1099999999999</v>
      </c>
      <c r="L921">
        <v>20</v>
      </c>
      <c r="M921">
        <v>4156.4399999999996</v>
      </c>
      <c r="N921">
        <v>3211.33</v>
      </c>
      <c r="O921">
        <v>945.11</v>
      </c>
      <c r="P921" t="s">
        <v>122</v>
      </c>
      <c r="Q921">
        <v>3.8</v>
      </c>
      <c r="R921" t="s">
        <v>30</v>
      </c>
      <c r="S921" t="s">
        <v>74</v>
      </c>
      <c r="T921">
        <v>2024</v>
      </c>
    </row>
    <row r="922" spans="1:20" x14ac:dyDescent="0.3">
      <c r="A922" t="s">
        <v>1390</v>
      </c>
      <c r="B922" t="s">
        <v>878</v>
      </c>
      <c r="C922" t="s">
        <v>34</v>
      </c>
      <c r="D922" t="s">
        <v>23</v>
      </c>
      <c r="E922" t="s">
        <v>24</v>
      </c>
      <c r="F922" t="s">
        <v>62</v>
      </c>
      <c r="G922" t="s">
        <v>63</v>
      </c>
      <c r="H922" t="s">
        <v>83</v>
      </c>
      <c r="I922" t="s">
        <v>165</v>
      </c>
      <c r="J922">
        <v>5</v>
      </c>
      <c r="K922">
        <v>41169.65</v>
      </c>
      <c r="L922">
        <v>30</v>
      </c>
      <c r="M922">
        <v>205848.25</v>
      </c>
      <c r="N922">
        <v>138959.84</v>
      </c>
      <c r="O922">
        <v>66888.41</v>
      </c>
      <c r="P922" t="s">
        <v>122</v>
      </c>
      <c r="Q922">
        <v>2.7</v>
      </c>
      <c r="R922" t="s">
        <v>30</v>
      </c>
      <c r="S922" t="s">
        <v>42</v>
      </c>
      <c r="T922">
        <v>2024</v>
      </c>
    </row>
    <row r="923" spans="1:20" x14ac:dyDescent="0.3">
      <c r="A923" t="s">
        <v>1391</v>
      </c>
      <c r="B923" t="s">
        <v>1116</v>
      </c>
      <c r="C923" t="s">
        <v>200</v>
      </c>
      <c r="D923" t="s">
        <v>132</v>
      </c>
      <c r="E923" t="s">
        <v>133</v>
      </c>
      <c r="F923" t="s">
        <v>54</v>
      </c>
      <c r="G923" t="s">
        <v>228</v>
      </c>
      <c r="H923" t="s">
        <v>179</v>
      </c>
      <c r="I923" t="s">
        <v>185</v>
      </c>
      <c r="J923">
        <v>2</v>
      </c>
      <c r="K923">
        <v>21472.14</v>
      </c>
      <c r="L923">
        <v>30</v>
      </c>
      <c r="M923">
        <v>42944.28</v>
      </c>
      <c r="N923">
        <v>32631.8</v>
      </c>
      <c r="O923">
        <v>10312.48</v>
      </c>
      <c r="P923" t="s">
        <v>29</v>
      </c>
      <c r="Q923">
        <v>3.4</v>
      </c>
      <c r="R923" t="s">
        <v>30</v>
      </c>
      <c r="S923" t="s">
        <v>31</v>
      </c>
      <c r="T923">
        <v>2024</v>
      </c>
    </row>
    <row r="924" spans="1:20" x14ac:dyDescent="0.3">
      <c r="A924" t="s">
        <v>1392</v>
      </c>
      <c r="B924" t="s">
        <v>280</v>
      </c>
      <c r="C924" t="s">
        <v>34</v>
      </c>
      <c r="D924" t="s">
        <v>35</v>
      </c>
      <c r="E924" t="s">
        <v>36</v>
      </c>
      <c r="F924" t="s">
        <v>25</v>
      </c>
      <c r="G924" t="s">
        <v>26</v>
      </c>
      <c r="H924" t="s">
        <v>121</v>
      </c>
      <c r="I924" t="s">
        <v>28</v>
      </c>
      <c r="J924">
        <v>5</v>
      </c>
      <c r="K924">
        <v>7936.7</v>
      </c>
      <c r="L924">
        <v>30</v>
      </c>
      <c r="M924">
        <v>39683.5</v>
      </c>
      <c r="N924">
        <v>32432.71</v>
      </c>
      <c r="O924">
        <v>7250.79</v>
      </c>
      <c r="P924" t="s">
        <v>29</v>
      </c>
      <c r="Q924">
        <v>3.1</v>
      </c>
      <c r="R924" t="s">
        <v>30</v>
      </c>
      <c r="S924" t="s">
        <v>42</v>
      </c>
      <c r="T924">
        <v>2024</v>
      </c>
    </row>
    <row r="925" spans="1:20" x14ac:dyDescent="0.3">
      <c r="A925" t="s">
        <v>1393</v>
      </c>
      <c r="B925" t="s">
        <v>280</v>
      </c>
      <c r="C925" t="s">
        <v>200</v>
      </c>
      <c r="D925" t="s">
        <v>52</v>
      </c>
      <c r="E925" t="s">
        <v>110</v>
      </c>
      <c r="F925" t="s">
        <v>37</v>
      </c>
      <c r="G925" t="s">
        <v>38</v>
      </c>
      <c r="H925" t="s">
        <v>86</v>
      </c>
      <c r="I925" t="s">
        <v>40</v>
      </c>
      <c r="J925">
        <v>3</v>
      </c>
      <c r="K925">
        <v>23939.919999999998</v>
      </c>
      <c r="L925">
        <v>5</v>
      </c>
      <c r="M925">
        <v>71819.759999999995</v>
      </c>
      <c r="N925">
        <v>55257.54</v>
      </c>
      <c r="O925">
        <v>16562.22</v>
      </c>
      <c r="P925" t="s">
        <v>144</v>
      </c>
      <c r="Q925">
        <v>2.1</v>
      </c>
      <c r="R925" t="s">
        <v>30</v>
      </c>
      <c r="S925" t="s">
        <v>42</v>
      </c>
      <c r="T925">
        <v>2024</v>
      </c>
    </row>
    <row r="926" spans="1:20" x14ac:dyDescent="0.3">
      <c r="A926" t="s">
        <v>1394</v>
      </c>
      <c r="B926" t="s">
        <v>529</v>
      </c>
      <c r="C926" t="s">
        <v>80</v>
      </c>
      <c r="D926" t="s">
        <v>132</v>
      </c>
      <c r="E926" t="s">
        <v>158</v>
      </c>
      <c r="F926" t="s">
        <v>37</v>
      </c>
      <c r="G926" t="s">
        <v>38</v>
      </c>
      <c r="H926" t="s">
        <v>39</v>
      </c>
      <c r="I926" t="s">
        <v>40</v>
      </c>
      <c r="J926">
        <v>5</v>
      </c>
      <c r="K926">
        <v>47480.71</v>
      </c>
      <c r="L926">
        <v>15</v>
      </c>
      <c r="M926">
        <v>237403.55</v>
      </c>
      <c r="N926">
        <v>171356.02</v>
      </c>
      <c r="O926">
        <v>66047.53</v>
      </c>
      <c r="P926" t="s">
        <v>41</v>
      </c>
      <c r="Q926">
        <v>3.1</v>
      </c>
      <c r="R926" t="s">
        <v>30</v>
      </c>
      <c r="S926" t="s">
        <v>31</v>
      </c>
      <c r="T926">
        <v>2024</v>
      </c>
    </row>
    <row r="927" spans="1:20" x14ac:dyDescent="0.3">
      <c r="A927" t="s">
        <v>1395</v>
      </c>
      <c r="B927" t="s">
        <v>214</v>
      </c>
      <c r="C927" t="s">
        <v>136</v>
      </c>
      <c r="D927" t="s">
        <v>69</v>
      </c>
      <c r="E927" t="s">
        <v>70</v>
      </c>
      <c r="F927" t="s">
        <v>62</v>
      </c>
      <c r="G927" t="s">
        <v>63</v>
      </c>
      <c r="H927" t="s">
        <v>271</v>
      </c>
      <c r="I927" t="s">
        <v>165</v>
      </c>
      <c r="J927">
        <v>3</v>
      </c>
      <c r="K927">
        <v>8058.4</v>
      </c>
      <c r="L927">
        <v>10</v>
      </c>
      <c r="M927">
        <v>24175.200000000001</v>
      </c>
      <c r="N927">
        <v>19341.5</v>
      </c>
      <c r="O927">
        <v>4833.7</v>
      </c>
      <c r="P927" t="s">
        <v>144</v>
      </c>
      <c r="Q927">
        <v>2.9</v>
      </c>
      <c r="R927" t="s">
        <v>30</v>
      </c>
      <c r="S927" t="s">
        <v>58</v>
      </c>
      <c r="T927">
        <v>2024</v>
      </c>
    </row>
    <row r="928" spans="1:20" x14ac:dyDescent="0.3">
      <c r="A928" t="s">
        <v>1396</v>
      </c>
      <c r="B928" t="s">
        <v>387</v>
      </c>
      <c r="C928" t="s">
        <v>168</v>
      </c>
      <c r="D928" t="s">
        <v>98</v>
      </c>
      <c r="E928" t="s">
        <v>99</v>
      </c>
      <c r="F928" t="s">
        <v>45</v>
      </c>
      <c r="G928" t="s">
        <v>46</v>
      </c>
      <c r="H928" t="s">
        <v>188</v>
      </c>
      <c r="I928" t="s">
        <v>101</v>
      </c>
      <c r="J928">
        <v>2</v>
      </c>
      <c r="K928">
        <v>32369.52</v>
      </c>
      <c r="L928">
        <v>30</v>
      </c>
      <c r="M928">
        <v>64739.040000000001</v>
      </c>
      <c r="N928">
        <v>45896.6</v>
      </c>
      <c r="O928">
        <v>18842.439999999999</v>
      </c>
      <c r="P928" t="s">
        <v>29</v>
      </c>
      <c r="Q928">
        <v>2.7</v>
      </c>
      <c r="R928" t="s">
        <v>30</v>
      </c>
      <c r="S928" t="s">
        <v>87</v>
      </c>
      <c r="T928">
        <v>2025</v>
      </c>
    </row>
    <row r="929" spans="1:20" x14ac:dyDescent="0.3">
      <c r="A929" t="s">
        <v>1397</v>
      </c>
      <c r="B929" t="s">
        <v>251</v>
      </c>
      <c r="C929" t="s">
        <v>136</v>
      </c>
      <c r="D929" t="s">
        <v>98</v>
      </c>
      <c r="E929" t="s">
        <v>99</v>
      </c>
      <c r="F929" t="s">
        <v>37</v>
      </c>
      <c r="G929" t="s">
        <v>38</v>
      </c>
      <c r="H929" t="s">
        <v>39</v>
      </c>
      <c r="I929" t="s">
        <v>40</v>
      </c>
      <c r="J929">
        <v>4</v>
      </c>
      <c r="K929">
        <v>29604.77</v>
      </c>
      <c r="L929">
        <v>10</v>
      </c>
      <c r="M929">
        <v>118419.08</v>
      </c>
      <c r="N929">
        <v>81293.320000000007</v>
      </c>
      <c r="O929">
        <v>37125.760000000002</v>
      </c>
      <c r="P929" t="s">
        <v>73</v>
      </c>
      <c r="Q929">
        <v>3.7</v>
      </c>
      <c r="R929" t="s">
        <v>30</v>
      </c>
      <c r="S929" t="s">
        <v>49</v>
      </c>
      <c r="T929">
        <v>2024</v>
      </c>
    </row>
    <row r="930" spans="1:20" x14ac:dyDescent="0.3">
      <c r="A930" t="s">
        <v>1398</v>
      </c>
      <c r="B930" t="s">
        <v>1342</v>
      </c>
      <c r="C930" t="s">
        <v>61</v>
      </c>
      <c r="D930" t="s">
        <v>132</v>
      </c>
      <c r="E930" t="s">
        <v>133</v>
      </c>
      <c r="F930" t="s">
        <v>37</v>
      </c>
      <c r="G930" t="s">
        <v>38</v>
      </c>
      <c r="H930" t="s">
        <v>86</v>
      </c>
      <c r="I930" t="s">
        <v>40</v>
      </c>
      <c r="J930">
        <v>2</v>
      </c>
      <c r="K930">
        <v>19927.72</v>
      </c>
      <c r="L930">
        <v>10</v>
      </c>
      <c r="M930">
        <v>39855.440000000002</v>
      </c>
      <c r="N930">
        <v>27357.48</v>
      </c>
      <c r="O930">
        <v>12497.96</v>
      </c>
      <c r="P930" t="s">
        <v>122</v>
      </c>
      <c r="Q930">
        <v>3.7</v>
      </c>
      <c r="R930" t="s">
        <v>30</v>
      </c>
      <c r="S930" t="s">
        <v>119</v>
      </c>
      <c r="T930">
        <v>2024</v>
      </c>
    </row>
    <row r="931" spans="1:20" x14ac:dyDescent="0.3">
      <c r="A931" t="s">
        <v>1399</v>
      </c>
      <c r="B931" t="s">
        <v>1080</v>
      </c>
      <c r="C931" t="s">
        <v>34</v>
      </c>
      <c r="D931" t="s">
        <v>52</v>
      </c>
      <c r="E931" t="s">
        <v>53</v>
      </c>
      <c r="F931" t="s">
        <v>25</v>
      </c>
      <c r="G931" t="s">
        <v>111</v>
      </c>
      <c r="H931" t="s">
        <v>121</v>
      </c>
      <c r="I931" t="s">
        <v>28</v>
      </c>
      <c r="J931">
        <v>1</v>
      </c>
      <c r="K931">
        <v>42170.48</v>
      </c>
      <c r="L931">
        <v>20</v>
      </c>
      <c r="M931">
        <v>42170.48</v>
      </c>
      <c r="N931">
        <v>35312.410000000003</v>
      </c>
      <c r="O931">
        <v>6858.07</v>
      </c>
      <c r="P931" t="s">
        <v>41</v>
      </c>
      <c r="Q931">
        <v>4.4000000000000004</v>
      </c>
      <c r="R931" t="s">
        <v>30</v>
      </c>
      <c r="S931" t="s">
        <v>74</v>
      </c>
      <c r="T931">
        <v>2024</v>
      </c>
    </row>
    <row r="932" spans="1:20" x14ac:dyDescent="0.3">
      <c r="A932" t="s">
        <v>1400</v>
      </c>
      <c r="B932" t="s">
        <v>313</v>
      </c>
      <c r="C932" t="s">
        <v>168</v>
      </c>
      <c r="D932" t="s">
        <v>69</v>
      </c>
      <c r="E932" t="s">
        <v>155</v>
      </c>
      <c r="F932" t="s">
        <v>37</v>
      </c>
      <c r="G932" t="s">
        <v>38</v>
      </c>
      <c r="H932" t="s">
        <v>327</v>
      </c>
      <c r="I932" t="s">
        <v>40</v>
      </c>
      <c r="J932">
        <v>5</v>
      </c>
      <c r="K932">
        <v>15950.41</v>
      </c>
      <c r="L932">
        <v>25</v>
      </c>
      <c r="M932">
        <v>79752.05</v>
      </c>
      <c r="N932">
        <v>65972.350000000006</v>
      </c>
      <c r="O932">
        <v>13779.7</v>
      </c>
      <c r="P932" t="s">
        <v>113</v>
      </c>
      <c r="Q932">
        <v>1.5</v>
      </c>
      <c r="R932" t="s">
        <v>30</v>
      </c>
      <c r="S932" t="s">
        <v>42</v>
      </c>
      <c r="T932">
        <v>2024</v>
      </c>
    </row>
    <row r="933" spans="1:20" x14ac:dyDescent="0.3">
      <c r="A933" t="s">
        <v>1401</v>
      </c>
      <c r="B933" t="s">
        <v>354</v>
      </c>
      <c r="C933" t="s">
        <v>34</v>
      </c>
      <c r="D933" t="s">
        <v>125</v>
      </c>
      <c r="E933" t="s">
        <v>139</v>
      </c>
      <c r="F933" t="s">
        <v>25</v>
      </c>
      <c r="G933" t="s">
        <v>26</v>
      </c>
      <c r="H933" t="s">
        <v>221</v>
      </c>
      <c r="I933" t="s">
        <v>28</v>
      </c>
      <c r="J933">
        <v>4</v>
      </c>
      <c r="K933">
        <v>791.45</v>
      </c>
      <c r="L933">
        <v>5</v>
      </c>
      <c r="M933">
        <v>3165.8</v>
      </c>
      <c r="N933">
        <v>2665.51</v>
      </c>
      <c r="O933">
        <v>500.29</v>
      </c>
      <c r="P933" t="s">
        <v>122</v>
      </c>
      <c r="Q933">
        <v>1.2</v>
      </c>
      <c r="R933" t="s">
        <v>66</v>
      </c>
      <c r="S933" t="s">
        <v>94</v>
      </c>
      <c r="T933">
        <v>2024</v>
      </c>
    </row>
    <row r="934" spans="1:20" x14ac:dyDescent="0.3">
      <c r="A934" t="s">
        <v>1402</v>
      </c>
      <c r="B934" t="s">
        <v>1296</v>
      </c>
      <c r="C934" t="s">
        <v>116</v>
      </c>
      <c r="D934" t="s">
        <v>125</v>
      </c>
      <c r="E934" t="s">
        <v>126</v>
      </c>
      <c r="F934" t="s">
        <v>37</v>
      </c>
      <c r="G934" t="s">
        <v>38</v>
      </c>
      <c r="H934" t="s">
        <v>39</v>
      </c>
      <c r="I934" t="s">
        <v>40</v>
      </c>
      <c r="J934">
        <v>3</v>
      </c>
      <c r="K934">
        <v>28534.99</v>
      </c>
      <c r="L934">
        <v>5</v>
      </c>
      <c r="M934">
        <v>85604.97</v>
      </c>
      <c r="N934">
        <v>61098.37</v>
      </c>
      <c r="O934">
        <v>24506.6</v>
      </c>
      <c r="P934" t="s">
        <v>144</v>
      </c>
      <c r="Q934">
        <v>1.8</v>
      </c>
      <c r="R934" t="s">
        <v>30</v>
      </c>
      <c r="S934" t="s">
        <v>162</v>
      </c>
      <c r="T934">
        <v>2024</v>
      </c>
    </row>
    <row r="935" spans="1:20" x14ac:dyDescent="0.3">
      <c r="A935" t="s">
        <v>1403</v>
      </c>
      <c r="B935" t="s">
        <v>199</v>
      </c>
      <c r="C935" t="s">
        <v>90</v>
      </c>
      <c r="D935" t="s">
        <v>52</v>
      </c>
      <c r="E935" t="s">
        <v>110</v>
      </c>
      <c r="F935" t="s">
        <v>62</v>
      </c>
      <c r="G935" t="s">
        <v>71</v>
      </c>
      <c r="H935" t="s">
        <v>72</v>
      </c>
      <c r="I935" t="s">
        <v>165</v>
      </c>
      <c r="J935">
        <v>4</v>
      </c>
      <c r="K935">
        <v>13371.43</v>
      </c>
      <c r="L935">
        <v>30</v>
      </c>
      <c r="M935">
        <v>53485.72</v>
      </c>
      <c r="N935">
        <v>45051.34</v>
      </c>
      <c r="O935">
        <v>8434.3799999999992</v>
      </c>
      <c r="P935" t="s">
        <v>144</v>
      </c>
      <c r="Q935">
        <v>1.2</v>
      </c>
      <c r="R935" t="s">
        <v>66</v>
      </c>
      <c r="S935" t="s">
        <v>119</v>
      </c>
      <c r="T935">
        <v>2024</v>
      </c>
    </row>
    <row r="936" spans="1:20" x14ac:dyDescent="0.3">
      <c r="A936" t="s">
        <v>1404</v>
      </c>
      <c r="B936" t="s">
        <v>1405</v>
      </c>
      <c r="C936" t="s">
        <v>97</v>
      </c>
      <c r="D936" t="s">
        <v>132</v>
      </c>
      <c r="E936" t="s">
        <v>158</v>
      </c>
      <c r="F936" t="s">
        <v>54</v>
      </c>
      <c r="G936" t="s">
        <v>91</v>
      </c>
      <c r="H936" t="s">
        <v>179</v>
      </c>
      <c r="I936" t="s">
        <v>57</v>
      </c>
      <c r="J936">
        <v>4</v>
      </c>
      <c r="K936">
        <v>48073.8</v>
      </c>
      <c r="L936">
        <v>10</v>
      </c>
      <c r="M936">
        <v>192295.2</v>
      </c>
      <c r="N936">
        <v>134354.41</v>
      </c>
      <c r="O936">
        <v>57940.79</v>
      </c>
      <c r="P936" t="s">
        <v>122</v>
      </c>
      <c r="Q936">
        <v>4.0999999999999996</v>
      </c>
      <c r="R936" t="s">
        <v>30</v>
      </c>
      <c r="S936" t="s">
        <v>74</v>
      </c>
      <c r="T936">
        <v>2024</v>
      </c>
    </row>
    <row r="937" spans="1:20" x14ac:dyDescent="0.3">
      <c r="A937" t="s">
        <v>1406</v>
      </c>
      <c r="B937" t="s">
        <v>1058</v>
      </c>
      <c r="C937" t="s">
        <v>80</v>
      </c>
      <c r="D937" t="s">
        <v>69</v>
      </c>
      <c r="E937" t="s">
        <v>70</v>
      </c>
      <c r="F937" t="s">
        <v>25</v>
      </c>
      <c r="G937" t="s">
        <v>26</v>
      </c>
      <c r="H937" t="s">
        <v>221</v>
      </c>
      <c r="I937" t="s">
        <v>112</v>
      </c>
      <c r="J937">
        <v>5</v>
      </c>
      <c r="K937">
        <v>15240.16</v>
      </c>
      <c r="L937">
        <v>5</v>
      </c>
      <c r="M937">
        <v>76200.800000000003</v>
      </c>
      <c r="N937">
        <v>61901.83</v>
      </c>
      <c r="O937">
        <v>14298.97</v>
      </c>
      <c r="P937" t="s">
        <v>144</v>
      </c>
      <c r="Q937">
        <v>3.6</v>
      </c>
      <c r="R937" t="s">
        <v>30</v>
      </c>
      <c r="S937" t="s">
        <v>119</v>
      </c>
      <c r="T937">
        <v>2024</v>
      </c>
    </row>
    <row r="938" spans="1:20" x14ac:dyDescent="0.3">
      <c r="A938" t="s">
        <v>1407</v>
      </c>
      <c r="B938" t="s">
        <v>1408</v>
      </c>
      <c r="C938" t="s">
        <v>90</v>
      </c>
      <c r="D938" t="s">
        <v>69</v>
      </c>
      <c r="E938" t="s">
        <v>70</v>
      </c>
      <c r="F938" t="s">
        <v>25</v>
      </c>
      <c r="G938" t="s">
        <v>26</v>
      </c>
      <c r="H938" t="s">
        <v>121</v>
      </c>
      <c r="I938" t="s">
        <v>112</v>
      </c>
      <c r="J938">
        <v>5</v>
      </c>
      <c r="K938">
        <v>11216.38</v>
      </c>
      <c r="L938">
        <v>20</v>
      </c>
      <c r="M938">
        <v>56081.9</v>
      </c>
      <c r="N938">
        <v>37068.620000000003</v>
      </c>
      <c r="O938">
        <v>19013.28</v>
      </c>
      <c r="P938" t="s">
        <v>113</v>
      </c>
      <c r="Q938">
        <v>2.8</v>
      </c>
      <c r="R938" t="s">
        <v>30</v>
      </c>
      <c r="S938" t="s">
        <v>94</v>
      </c>
      <c r="T938">
        <v>2024</v>
      </c>
    </row>
    <row r="939" spans="1:20" x14ac:dyDescent="0.3">
      <c r="A939" t="s">
        <v>1409</v>
      </c>
      <c r="B939" t="s">
        <v>291</v>
      </c>
      <c r="C939" t="s">
        <v>136</v>
      </c>
      <c r="D939" t="s">
        <v>125</v>
      </c>
      <c r="E939" t="s">
        <v>139</v>
      </c>
      <c r="F939" t="s">
        <v>25</v>
      </c>
      <c r="G939" t="s">
        <v>111</v>
      </c>
      <c r="H939" t="s">
        <v>221</v>
      </c>
      <c r="I939" t="s">
        <v>28</v>
      </c>
      <c r="J939">
        <v>3</v>
      </c>
      <c r="K939">
        <v>540.63</v>
      </c>
      <c r="L939">
        <v>15</v>
      </c>
      <c r="M939">
        <v>1621.89</v>
      </c>
      <c r="N939">
        <v>1126.98</v>
      </c>
      <c r="O939">
        <v>494.91</v>
      </c>
      <c r="P939" t="s">
        <v>113</v>
      </c>
      <c r="Q939">
        <v>3.5</v>
      </c>
      <c r="R939" t="s">
        <v>66</v>
      </c>
      <c r="S939" t="s">
        <v>107</v>
      </c>
      <c r="T939">
        <v>2024</v>
      </c>
    </row>
    <row r="940" spans="1:20" x14ac:dyDescent="0.3">
      <c r="A940" t="s">
        <v>1410</v>
      </c>
      <c r="B940" t="s">
        <v>1008</v>
      </c>
      <c r="C940" t="s">
        <v>168</v>
      </c>
      <c r="D940" t="s">
        <v>69</v>
      </c>
      <c r="E940" t="s">
        <v>70</v>
      </c>
      <c r="F940" t="s">
        <v>54</v>
      </c>
      <c r="G940" t="s">
        <v>201</v>
      </c>
      <c r="H940" t="s">
        <v>56</v>
      </c>
      <c r="I940" t="s">
        <v>185</v>
      </c>
      <c r="J940">
        <v>3</v>
      </c>
      <c r="K940">
        <v>19845.72</v>
      </c>
      <c r="L940">
        <v>15</v>
      </c>
      <c r="M940">
        <v>59537.16</v>
      </c>
      <c r="N940">
        <v>50363.41</v>
      </c>
      <c r="O940">
        <v>9173.75</v>
      </c>
      <c r="P940" t="s">
        <v>113</v>
      </c>
      <c r="Q940">
        <v>4</v>
      </c>
      <c r="R940" t="s">
        <v>30</v>
      </c>
      <c r="S940" t="s">
        <v>49</v>
      </c>
      <c r="T940">
        <v>2024</v>
      </c>
    </row>
    <row r="941" spans="1:20" x14ac:dyDescent="0.3">
      <c r="A941" t="s">
        <v>1411</v>
      </c>
      <c r="B941" t="s">
        <v>571</v>
      </c>
      <c r="C941" t="s">
        <v>61</v>
      </c>
      <c r="D941" t="s">
        <v>69</v>
      </c>
      <c r="E941" t="s">
        <v>70</v>
      </c>
      <c r="F941" t="s">
        <v>37</v>
      </c>
      <c r="G941" t="s">
        <v>38</v>
      </c>
      <c r="H941" t="s">
        <v>86</v>
      </c>
      <c r="I941" t="s">
        <v>40</v>
      </c>
      <c r="J941">
        <v>1</v>
      </c>
      <c r="K941">
        <v>31486.57</v>
      </c>
      <c r="L941">
        <v>15</v>
      </c>
      <c r="M941">
        <v>31486.57</v>
      </c>
      <c r="N941">
        <v>24391.16</v>
      </c>
      <c r="O941">
        <v>7095.41</v>
      </c>
      <c r="P941" t="s">
        <v>73</v>
      </c>
      <c r="Q941">
        <v>3</v>
      </c>
      <c r="R941" t="s">
        <v>30</v>
      </c>
      <c r="S941" t="s">
        <v>162</v>
      </c>
      <c r="T941">
        <v>2024</v>
      </c>
    </row>
    <row r="942" spans="1:20" x14ac:dyDescent="0.3">
      <c r="A942" t="s">
        <v>1412</v>
      </c>
      <c r="B942" t="s">
        <v>243</v>
      </c>
      <c r="C942" t="s">
        <v>136</v>
      </c>
      <c r="D942" t="s">
        <v>81</v>
      </c>
      <c r="E942" t="s">
        <v>149</v>
      </c>
      <c r="F942" t="s">
        <v>54</v>
      </c>
      <c r="G942" t="s">
        <v>55</v>
      </c>
      <c r="H942" t="s">
        <v>56</v>
      </c>
      <c r="I942" t="s">
        <v>180</v>
      </c>
      <c r="J942">
        <v>2</v>
      </c>
      <c r="K942">
        <v>47899.72</v>
      </c>
      <c r="L942">
        <v>30</v>
      </c>
      <c r="M942">
        <v>95799.44</v>
      </c>
      <c r="N942">
        <v>65510.48</v>
      </c>
      <c r="O942">
        <v>30288.959999999999</v>
      </c>
      <c r="P942" t="s">
        <v>113</v>
      </c>
      <c r="Q942">
        <v>4</v>
      </c>
      <c r="R942" t="s">
        <v>30</v>
      </c>
      <c r="S942" t="s">
        <v>78</v>
      </c>
      <c r="T942">
        <v>2024</v>
      </c>
    </row>
    <row r="943" spans="1:20" x14ac:dyDescent="0.3">
      <c r="A943" t="s">
        <v>1413</v>
      </c>
      <c r="B943" t="s">
        <v>1032</v>
      </c>
      <c r="C943" t="s">
        <v>116</v>
      </c>
      <c r="D943" t="s">
        <v>35</v>
      </c>
      <c r="E943" t="s">
        <v>36</v>
      </c>
      <c r="F943" t="s">
        <v>25</v>
      </c>
      <c r="G943" t="s">
        <v>111</v>
      </c>
      <c r="H943" t="s">
        <v>27</v>
      </c>
      <c r="I943" t="s">
        <v>112</v>
      </c>
      <c r="J943">
        <v>5</v>
      </c>
      <c r="K943">
        <v>39842.15</v>
      </c>
      <c r="L943">
        <v>10</v>
      </c>
      <c r="M943">
        <v>199210.75</v>
      </c>
      <c r="N943">
        <v>148552.84</v>
      </c>
      <c r="O943">
        <v>50657.91</v>
      </c>
      <c r="P943" t="s">
        <v>29</v>
      </c>
      <c r="Q943">
        <v>4.8</v>
      </c>
      <c r="R943" t="s">
        <v>30</v>
      </c>
      <c r="S943" t="s">
        <v>87</v>
      </c>
      <c r="T943">
        <v>2025</v>
      </c>
    </row>
    <row r="944" spans="1:20" x14ac:dyDescent="0.3">
      <c r="A944" t="s">
        <v>1414</v>
      </c>
      <c r="B944" t="s">
        <v>1095</v>
      </c>
      <c r="C944" t="s">
        <v>61</v>
      </c>
      <c r="D944" t="s">
        <v>69</v>
      </c>
      <c r="E944" t="s">
        <v>70</v>
      </c>
      <c r="F944" t="s">
        <v>37</v>
      </c>
      <c r="G944" t="s">
        <v>38</v>
      </c>
      <c r="H944" t="s">
        <v>77</v>
      </c>
      <c r="I944" t="s">
        <v>40</v>
      </c>
      <c r="J944">
        <v>2</v>
      </c>
      <c r="K944">
        <v>46101.14</v>
      </c>
      <c r="L944">
        <v>10</v>
      </c>
      <c r="M944">
        <v>92202.28</v>
      </c>
      <c r="N944">
        <v>65666.880000000005</v>
      </c>
      <c r="O944">
        <v>26535.4</v>
      </c>
      <c r="P944" t="s">
        <v>144</v>
      </c>
      <c r="Q944">
        <v>4</v>
      </c>
      <c r="R944" t="s">
        <v>30</v>
      </c>
      <c r="S944" t="s">
        <v>94</v>
      </c>
      <c r="T944">
        <v>2024</v>
      </c>
    </row>
    <row r="945" spans="1:20" x14ac:dyDescent="0.3">
      <c r="A945" t="s">
        <v>1415</v>
      </c>
      <c r="B945" t="s">
        <v>1008</v>
      </c>
      <c r="C945" t="s">
        <v>116</v>
      </c>
      <c r="D945" t="s">
        <v>69</v>
      </c>
      <c r="E945" t="s">
        <v>70</v>
      </c>
      <c r="F945" t="s">
        <v>25</v>
      </c>
      <c r="G945" t="s">
        <v>26</v>
      </c>
      <c r="H945" t="s">
        <v>221</v>
      </c>
      <c r="I945" t="s">
        <v>112</v>
      </c>
      <c r="J945">
        <v>5</v>
      </c>
      <c r="K945">
        <v>46563.35</v>
      </c>
      <c r="L945">
        <v>25</v>
      </c>
      <c r="M945">
        <v>232816.75</v>
      </c>
      <c r="N945">
        <v>193257.62</v>
      </c>
      <c r="O945">
        <v>39559.129999999997</v>
      </c>
      <c r="P945" t="s">
        <v>29</v>
      </c>
      <c r="Q945">
        <v>1.2</v>
      </c>
      <c r="R945" t="s">
        <v>30</v>
      </c>
      <c r="S945" t="s">
        <v>49</v>
      </c>
      <c r="T945">
        <v>2024</v>
      </c>
    </row>
    <row r="946" spans="1:20" x14ac:dyDescent="0.3">
      <c r="A946" t="s">
        <v>1416</v>
      </c>
      <c r="B946" t="s">
        <v>756</v>
      </c>
      <c r="C946" t="s">
        <v>90</v>
      </c>
      <c r="D946" t="s">
        <v>35</v>
      </c>
      <c r="E946" t="s">
        <v>36</v>
      </c>
      <c r="F946" t="s">
        <v>54</v>
      </c>
      <c r="G946" t="s">
        <v>201</v>
      </c>
      <c r="H946" t="s">
        <v>92</v>
      </c>
      <c r="I946" t="s">
        <v>180</v>
      </c>
      <c r="J946">
        <v>4</v>
      </c>
      <c r="K946">
        <v>35922.639999999999</v>
      </c>
      <c r="L946">
        <v>25</v>
      </c>
      <c r="M946">
        <v>143690.56</v>
      </c>
      <c r="N946">
        <v>97909.43</v>
      </c>
      <c r="O946">
        <v>45781.13</v>
      </c>
      <c r="P946" t="s">
        <v>41</v>
      </c>
      <c r="Q946">
        <v>3.1</v>
      </c>
      <c r="R946" t="s">
        <v>30</v>
      </c>
      <c r="S946" t="s">
        <v>102</v>
      </c>
      <c r="T946">
        <v>2024</v>
      </c>
    </row>
    <row r="947" spans="1:20" x14ac:dyDescent="0.3">
      <c r="A947" t="s">
        <v>1417</v>
      </c>
      <c r="B947" t="s">
        <v>1312</v>
      </c>
      <c r="C947" t="s">
        <v>34</v>
      </c>
      <c r="D947" t="s">
        <v>98</v>
      </c>
      <c r="E947" t="s">
        <v>99</v>
      </c>
      <c r="F947" t="s">
        <v>54</v>
      </c>
      <c r="G947" t="s">
        <v>91</v>
      </c>
      <c r="H947" t="s">
        <v>179</v>
      </c>
      <c r="I947" t="s">
        <v>296</v>
      </c>
      <c r="J947">
        <v>1</v>
      </c>
      <c r="K947">
        <v>33745.33</v>
      </c>
      <c r="L947">
        <v>10</v>
      </c>
      <c r="M947">
        <v>33745.33</v>
      </c>
      <c r="N947">
        <v>22906.09</v>
      </c>
      <c r="O947">
        <v>10839.24</v>
      </c>
      <c r="P947" t="s">
        <v>113</v>
      </c>
      <c r="Q947">
        <v>2.7</v>
      </c>
      <c r="R947" t="s">
        <v>30</v>
      </c>
      <c r="S947" t="s">
        <v>87</v>
      </c>
      <c r="T947">
        <v>2025</v>
      </c>
    </row>
    <row r="948" spans="1:20" x14ac:dyDescent="0.3">
      <c r="A948" t="s">
        <v>1418</v>
      </c>
      <c r="B948" t="s">
        <v>864</v>
      </c>
      <c r="C948" t="s">
        <v>136</v>
      </c>
      <c r="D948" t="s">
        <v>52</v>
      </c>
      <c r="E948" t="s">
        <v>110</v>
      </c>
      <c r="F948" t="s">
        <v>37</v>
      </c>
      <c r="G948" t="s">
        <v>38</v>
      </c>
      <c r="H948" t="s">
        <v>327</v>
      </c>
      <c r="I948" t="s">
        <v>40</v>
      </c>
      <c r="J948">
        <v>5</v>
      </c>
      <c r="K948">
        <v>22870.53</v>
      </c>
      <c r="L948">
        <v>25</v>
      </c>
      <c r="M948">
        <v>114352.65</v>
      </c>
      <c r="N948">
        <v>82406</v>
      </c>
      <c r="O948">
        <v>31946.65</v>
      </c>
      <c r="P948" t="s">
        <v>113</v>
      </c>
      <c r="Q948">
        <v>1.4</v>
      </c>
      <c r="R948" t="s">
        <v>30</v>
      </c>
      <c r="S948" t="s">
        <v>119</v>
      </c>
      <c r="T948">
        <v>2024</v>
      </c>
    </row>
    <row r="949" spans="1:20" x14ac:dyDescent="0.3">
      <c r="A949" t="s">
        <v>1419</v>
      </c>
      <c r="B949" t="s">
        <v>291</v>
      </c>
      <c r="C949" t="s">
        <v>34</v>
      </c>
      <c r="D949" t="s">
        <v>35</v>
      </c>
      <c r="E949" t="s">
        <v>36</v>
      </c>
      <c r="F949" t="s">
        <v>62</v>
      </c>
      <c r="G949" t="s">
        <v>71</v>
      </c>
      <c r="H949" t="s">
        <v>271</v>
      </c>
      <c r="I949" t="s">
        <v>65</v>
      </c>
      <c r="J949">
        <v>2</v>
      </c>
      <c r="K949">
        <v>29715.31</v>
      </c>
      <c r="L949">
        <v>10</v>
      </c>
      <c r="M949">
        <v>59430.62</v>
      </c>
      <c r="N949">
        <v>44934.879999999997</v>
      </c>
      <c r="O949">
        <v>14495.74</v>
      </c>
      <c r="P949" t="s">
        <v>113</v>
      </c>
      <c r="Q949">
        <v>3.5</v>
      </c>
      <c r="R949" t="s">
        <v>30</v>
      </c>
      <c r="S949" t="s">
        <v>107</v>
      </c>
      <c r="T949">
        <v>2024</v>
      </c>
    </row>
    <row r="950" spans="1:20" x14ac:dyDescent="0.3">
      <c r="A950" t="s">
        <v>1420</v>
      </c>
      <c r="B950" t="s">
        <v>309</v>
      </c>
      <c r="C950" t="s">
        <v>136</v>
      </c>
      <c r="D950" t="s">
        <v>98</v>
      </c>
      <c r="E950" t="s">
        <v>99</v>
      </c>
      <c r="F950" t="s">
        <v>37</v>
      </c>
      <c r="G950" t="s">
        <v>38</v>
      </c>
      <c r="H950" t="s">
        <v>39</v>
      </c>
      <c r="I950" t="s">
        <v>40</v>
      </c>
      <c r="J950">
        <v>4</v>
      </c>
      <c r="K950">
        <v>15543.65</v>
      </c>
      <c r="L950">
        <v>20</v>
      </c>
      <c r="M950">
        <v>62174.6</v>
      </c>
      <c r="N950">
        <v>43198.3</v>
      </c>
      <c r="O950">
        <v>18976.3</v>
      </c>
      <c r="P950" t="s">
        <v>122</v>
      </c>
      <c r="Q950">
        <v>2.7</v>
      </c>
      <c r="R950" t="s">
        <v>30</v>
      </c>
      <c r="S950" t="s">
        <v>49</v>
      </c>
      <c r="T950">
        <v>2024</v>
      </c>
    </row>
    <row r="951" spans="1:20" x14ac:dyDescent="0.3">
      <c r="A951" t="s">
        <v>1421</v>
      </c>
      <c r="B951" t="s">
        <v>115</v>
      </c>
      <c r="C951" t="s">
        <v>168</v>
      </c>
      <c r="D951" t="s">
        <v>81</v>
      </c>
      <c r="E951" t="s">
        <v>82</v>
      </c>
      <c r="F951" t="s">
        <v>54</v>
      </c>
      <c r="G951" t="s">
        <v>91</v>
      </c>
      <c r="H951" t="s">
        <v>117</v>
      </c>
      <c r="I951" t="s">
        <v>296</v>
      </c>
      <c r="J951">
        <v>2</v>
      </c>
      <c r="K951">
        <v>8234.32</v>
      </c>
      <c r="L951">
        <v>10</v>
      </c>
      <c r="M951">
        <v>16468.64</v>
      </c>
      <c r="N951">
        <v>12143.79</v>
      </c>
      <c r="O951">
        <v>4324.8500000000004</v>
      </c>
      <c r="P951" t="s">
        <v>29</v>
      </c>
      <c r="Q951">
        <v>1.9</v>
      </c>
      <c r="R951" t="s">
        <v>30</v>
      </c>
      <c r="S951" t="s">
        <v>119</v>
      </c>
      <c r="T951">
        <v>2024</v>
      </c>
    </row>
    <row r="952" spans="1:20" x14ac:dyDescent="0.3">
      <c r="A952" t="s">
        <v>1422</v>
      </c>
      <c r="B952" t="s">
        <v>409</v>
      </c>
      <c r="C952" t="s">
        <v>97</v>
      </c>
      <c r="D952" t="s">
        <v>98</v>
      </c>
      <c r="E952" t="s">
        <v>99</v>
      </c>
      <c r="F952" t="s">
        <v>37</v>
      </c>
      <c r="G952" t="s">
        <v>38</v>
      </c>
      <c r="H952" t="s">
        <v>140</v>
      </c>
      <c r="I952" t="s">
        <v>40</v>
      </c>
      <c r="J952">
        <v>1</v>
      </c>
      <c r="K952">
        <v>959.63</v>
      </c>
      <c r="L952">
        <v>25</v>
      </c>
      <c r="M952">
        <v>959.63</v>
      </c>
      <c r="N952">
        <v>809.86</v>
      </c>
      <c r="O952">
        <v>149.77000000000001</v>
      </c>
      <c r="P952" t="s">
        <v>73</v>
      </c>
      <c r="Q952">
        <v>1.6</v>
      </c>
      <c r="R952" t="s">
        <v>30</v>
      </c>
      <c r="S952" t="s">
        <v>58</v>
      </c>
      <c r="T952">
        <v>2024</v>
      </c>
    </row>
    <row r="953" spans="1:20" x14ac:dyDescent="0.3">
      <c r="A953" t="s">
        <v>1423</v>
      </c>
      <c r="B953" t="s">
        <v>124</v>
      </c>
      <c r="C953" t="s">
        <v>168</v>
      </c>
      <c r="D953" t="s">
        <v>35</v>
      </c>
      <c r="E953" t="s">
        <v>36</v>
      </c>
      <c r="F953" t="s">
        <v>45</v>
      </c>
      <c r="G953" t="s">
        <v>105</v>
      </c>
      <c r="H953" t="s">
        <v>47</v>
      </c>
      <c r="I953" t="s">
        <v>169</v>
      </c>
      <c r="J953">
        <v>5</v>
      </c>
      <c r="K953">
        <v>34969.69</v>
      </c>
      <c r="L953">
        <v>5</v>
      </c>
      <c r="M953">
        <v>174848.45</v>
      </c>
      <c r="N953">
        <v>115615.1</v>
      </c>
      <c r="O953">
        <v>59233.35</v>
      </c>
      <c r="P953" t="s">
        <v>144</v>
      </c>
      <c r="Q953">
        <v>4</v>
      </c>
      <c r="R953" t="s">
        <v>30</v>
      </c>
      <c r="S953" t="s">
        <v>94</v>
      </c>
      <c r="T953">
        <v>2024</v>
      </c>
    </row>
    <row r="954" spans="1:20" x14ac:dyDescent="0.3">
      <c r="A954" t="s">
        <v>1424</v>
      </c>
      <c r="B954" t="s">
        <v>1425</v>
      </c>
      <c r="C954" t="s">
        <v>61</v>
      </c>
      <c r="D954" t="s">
        <v>69</v>
      </c>
      <c r="E954" t="s">
        <v>70</v>
      </c>
      <c r="F954" t="s">
        <v>54</v>
      </c>
      <c r="G954" t="s">
        <v>201</v>
      </c>
      <c r="H954" t="s">
        <v>91</v>
      </c>
      <c r="I954" t="s">
        <v>180</v>
      </c>
      <c r="J954">
        <v>3</v>
      </c>
      <c r="K954">
        <v>46553.58</v>
      </c>
      <c r="L954">
        <v>15</v>
      </c>
      <c r="M954">
        <v>139660.74</v>
      </c>
      <c r="N954">
        <v>91146.41</v>
      </c>
      <c r="O954">
        <v>48514.33</v>
      </c>
      <c r="P954" t="s">
        <v>113</v>
      </c>
      <c r="Q954">
        <v>2.2999999999999998</v>
      </c>
      <c r="R954" t="s">
        <v>159</v>
      </c>
      <c r="S954" t="s">
        <v>87</v>
      </c>
      <c r="T954">
        <v>2025</v>
      </c>
    </row>
    <row r="955" spans="1:20" x14ac:dyDescent="0.3">
      <c r="A955" t="s">
        <v>1426</v>
      </c>
      <c r="B955" t="s">
        <v>598</v>
      </c>
      <c r="C955" t="s">
        <v>22</v>
      </c>
      <c r="D955" t="s">
        <v>125</v>
      </c>
      <c r="E955" t="s">
        <v>139</v>
      </c>
      <c r="F955" t="s">
        <v>45</v>
      </c>
      <c r="G955" t="s">
        <v>105</v>
      </c>
      <c r="H955" t="s">
        <v>47</v>
      </c>
      <c r="I955" t="s">
        <v>169</v>
      </c>
      <c r="J955">
        <v>1</v>
      </c>
      <c r="K955">
        <v>33472.93</v>
      </c>
      <c r="L955">
        <v>30</v>
      </c>
      <c r="M955">
        <v>33472.93</v>
      </c>
      <c r="N955">
        <v>25478.21</v>
      </c>
      <c r="O955">
        <v>7994.72</v>
      </c>
      <c r="P955" t="s">
        <v>122</v>
      </c>
      <c r="Q955">
        <v>3.4</v>
      </c>
      <c r="R955" t="s">
        <v>66</v>
      </c>
      <c r="S955" t="s">
        <v>49</v>
      </c>
      <c r="T955">
        <v>2024</v>
      </c>
    </row>
    <row r="956" spans="1:20" x14ac:dyDescent="0.3">
      <c r="A956" t="s">
        <v>1427</v>
      </c>
      <c r="B956" t="s">
        <v>1428</v>
      </c>
      <c r="C956" t="s">
        <v>116</v>
      </c>
      <c r="D956" t="s">
        <v>132</v>
      </c>
      <c r="E956" t="s">
        <v>133</v>
      </c>
      <c r="F956" t="s">
        <v>54</v>
      </c>
      <c r="G956" t="s">
        <v>55</v>
      </c>
      <c r="H956" t="s">
        <v>117</v>
      </c>
      <c r="I956" t="s">
        <v>296</v>
      </c>
      <c r="J956">
        <v>2</v>
      </c>
      <c r="K956">
        <v>29781.11</v>
      </c>
      <c r="L956">
        <v>20</v>
      </c>
      <c r="M956">
        <v>59562.22</v>
      </c>
      <c r="N956">
        <v>48384.26</v>
      </c>
      <c r="O956">
        <v>11177.96</v>
      </c>
      <c r="P956" t="s">
        <v>29</v>
      </c>
      <c r="Q956">
        <v>3.6</v>
      </c>
      <c r="R956" t="s">
        <v>30</v>
      </c>
      <c r="S956" t="s">
        <v>94</v>
      </c>
      <c r="T956">
        <v>2024</v>
      </c>
    </row>
    <row r="957" spans="1:20" x14ac:dyDescent="0.3">
      <c r="A957" t="s">
        <v>1429</v>
      </c>
      <c r="B957" t="s">
        <v>321</v>
      </c>
      <c r="C957" t="s">
        <v>200</v>
      </c>
      <c r="D957" t="s">
        <v>98</v>
      </c>
      <c r="E957" t="s">
        <v>99</v>
      </c>
      <c r="F957" t="s">
        <v>62</v>
      </c>
      <c r="G957" t="s">
        <v>71</v>
      </c>
      <c r="H957" t="s">
        <v>64</v>
      </c>
      <c r="I957" t="s">
        <v>143</v>
      </c>
      <c r="J957">
        <v>3</v>
      </c>
      <c r="K957">
        <v>30564.98</v>
      </c>
      <c r="L957">
        <v>5</v>
      </c>
      <c r="M957">
        <v>91694.94</v>
      </c>
      <c r="N957">
        <v>65974.570000000007</v>
      </c>
      <c r="O957">
        <v>25720.37</v>
      </c>
      <c r="P957" t="s">
        <v>29</v>
      </c>
      <c r="Q957">
        <v>3.8</v>
      </c>
      <c r="R957" t="s">
        <v>66</v>
      </c>
      <c r="S957" t="s">
        <v>78</v>
      </c>
      <c r="T957">
        <v>2024</v>
      </c>
    </row>
    <row r="958" spans="1:20" x14ac:dyDescent="0.3">
      <c r="A958" t="s">
        <v>1430</v>
      </c>
      <c r="B958" t="s">
        <v>725</v>
      </c>
      <c r="C958" t="s">
        <v>80</v>
      </c>
      <c r="D958" t="s">
        <v>52</v>
      </c>
      <c r="E958" t="s">
        <v>53</v>
      </c>
      <c r="F958" t="s">
        <v>37</v>
      </c>
      <c r="G958" t="s">
        <v>38</v>
      </c>
      <c r="H958" t="s">
        <v>77</v>
      </c>
      <c r="I958" t="s">
        <v>40</v>
      </c>
      <c r="J958">
        <v>2</v>
      </c>
      <c r="K958">
        <v>42407.519999999997</v>
      </c>
      <c r="L958">
        <v>20</v>
      </c>
      <c r="M958">
        <v>84815.039999999994</v>
      </c>
      <c r="N958">
        <v>57877.39</v>
      </c>
      <c r="O958">
        <v>26937.65</v>
      </c>
      <c r="P958" t="s">
        <v>29</v>
      </c>
      <c r="Q958">
        <v>4.7</v>
      </c>
      <c r="R958" t="s">
        <v>66</v>
      </c>
      <c r="S958" t="s">
        <v>49</v>
      </c>
      <c r="T958">
        <v>2024</v>
      </c>
    </row>
    <row r="959" spans="1:20" x14ac:dyDescent="0.3">
      <c r="A959" t="s">
        <v>1431</v>
      </c>
      <c r="B959" t="s">
        <v>977</v>
      </c>
      <c r="C959" t="s">
        <v>34</v>
      </c>
      <c r="D959" t="s">
        <v>35</v>
      </c>
      <c r="E959" t="s">
        <v>36</v>
      </c>
      <c r="F959" t="s">
        <v>25</v>
      </c>
      <c r="G959" t="s">
        <v>111</v>
      </c>
      <c r="H959" t="s">
        <v>221</v>
      </c>
      <c r="I959" t="s">
        <v>28</v>
      </c>
      <c r="J959">
        <v>1</v>
      </c>
      <c r="K959">
        <v>10435.030000000001</v>
      </c>
      <c r="L959">
        <v>25</v>
      </c>
      <c r="M959">
        <v>10435.030000000001</v>
      </c>
      <c r="N959">
        <v>6962.14</v>
      </c>
      <c r="O959">
        <v>3472.89</v>
      </c>
      <c r="P959" t="s">
        <v>29</v>
      </c>
      <c r="Q959">
        <v>3.1</v>
      </c>
      <c r="R959" t="s">
        <v>30</v>
      </c>
      <c r="S959" t="s">
        <v>31</v>
      </c>
      <c r="T959">
        <v>2024</v>
      </c>
    </row>
    <row r="960" spans="1:20" x14ac:dyDescent="0.3">
      <c r="A960" t="s">
        <v>1432</v>
      </c>
      <c r="B960" t="s">
        <v>683</v>
      </c>
      <c r="C960" t="s">
        <v>97</v>
      </c>
      <c r="D960" t="s">
        <v>81</v>
      </c>
      <c r="E960" t="s">
        <v>82</v>
      </c>
      <c r="F960" t="s">
        <v>54</v>
      </c>
      <c r="G960" t="s">
        <v>55</v>
      </c>
      <c r="H960" t="s">
        <v>91</v>
      </c>
      <c r="I960" t="s">
        <v>185</v>
      </c>
      <c r="J960">
        <v>3</v>
      </c>
      <c r="K960">
        <v>35278.46</v>
      </c>
      <c r="L960">
        <v>10</v>
      </c>
      <c r="M960">
        <v>105835.38</v>
      </c>
      <c r="N960">
        <v>86329.33</v>
      </c>
      <c r="O960">
        <v>19506.05</v>
      </c>
      <c r="P960" t="s">
        <v>113</v>
      </c>
      <c r="Q960">
        <v>1.2</v>
      </c>
      <c r="R960" t="s">
        <v>30</v>
      </c>
      <c r="S960" t="s">
        <v>162</v>
      </c>
      <c r="T960">
        <v>2024</v>
      </c>
    </row>
    <row r="961" spans="1:20" x14ac:dyDescent="0.3">
      <c r="A961" t="s">
        <v>1433</v>
      </c>
      <c r="B961" t="s">
        <v>936</v>
      </c>
      <c r="C961" t="s">
        <v>22</v>
      </c>
      <c r="D961" t="s">
        <v>132</v>
      </c>
      <c r="E961" t="s">
        <v>133</v>
      </c>
      <c r="F961" t="s">
        <v>54</v>
      </c>
      <c r="G961" t="s">
        <v>91</v>
      </c>
      <c r="H961" t="s">
        <v>117</v>
      </c>
      <c r="I961" t="s">
        <v>57</v>
      </c>
      <c r="J961">
        <v>3</v>
      </c>
      <c r="K961">
        <v>34844.54</v>
      </c>
      <c r="L961">
        <v>15</v>
      </c>
      <c r="M961">
        <v>104533.62</v>
      </c>
      <c r="N961">
        <v>76927.399999999994</v>
      </c>
      <c r="O961">
        <v>27606.22</v>
      </c>
      <c r="P961" t="s">
        <v>122</v>
      </c>
      <c r="Q961">
        <v>4.8</v>
      </c>
      <c r="R961" t="s">
        <v>30</v>
      </c>
      <c r="S961" t="s">
        <v>31</v>
      </c>
      <c r="T961">
        <v>2024</v>
      </c>
    </row>
    <row r="962" spans="1:20" x14ac:dyDescent="0.3">
      <c r="A962" t="s">
        <v>1434</v>
      </c>
      <c r="B962" t="s">
        <v>701</v>
      </c>
      <c r="C962" t="s">
        <v>97</v>
      </c>
      <c r="D962" t="s">
        <v>125</v>
      </c>
      <c r="E962" t="s">
        <v>126</v>
      </c>
      <c r="F962" t="s">
        <v>25</v>
      </c>
      <c r="G962" t="s">
        <v>111</v>
      </c>
      <c r="H962" t="s">
        <v>121</v>
      </c>
      <c r="I962" t="s">
        <v>112</v>
      </c>
      <c r="J962">
        <v>5</v>
      </c>
      <c r="K962">
        <v>31159.759999999998</v>
      </c>
      <c r="L962">
        <v>15</v>
      </c>
      <c r="M962">
        <v>155798.79999999999</v>
      </c>
      <c r="N962">
        <v>117730.08</v>
      </c>
      <c r="O962">
        <v>38068.720000000001</v>
      </c>
      <c r="P962" t="s">
        <v>73</v>
      </c>
      <c r="Q962">
        <v>1.1000000000000001</v>
      </c>
      <c r="R962" t="s">
        <v>30</v>
      </c>
      <c r="S962" t="s">
        <v>87</v>
      </c>
      <c r="T962">
        <v>2025</v>
      </c>
    </row>
    <row r="963" spans="1:20" x14ac:dyDescent="0.3">
      <c r="A963" t="s">
        <v>1435</v>
      </c>
      <c r="B963" t="s">
        <v>335</v>
      </c>
      <c r="C963" t="s">
        <v>34</v>
      </c>
      <c r="D963" t="s">
        <v>52</v>
      </c>
      <c r="E963" t="s">
        <v>53</v>
      </c>
      <c r="F963" t="s">
        <v>37</v>
      </c>
      <c r="G963" t="s">
        <v>38</v>
      </c>
      <c r="H963" t="s">
        <v>327</v>
      </c>
      <c r="I963" t="s">
        <v>40</v>
      </c>
      <c r="J963">
        <v>4</v>
      </c>
      <c r="K963">
        <v>27369.17</v>
      </c>
      <c r="L963">
        <v>10</v>
      </c>
      <c r="M963">
        <v>109476.68</v>
      </c>
      <c r="N963">
        <v>91403.31</v>
      </c>
      <c r="O963">
        <v>18073.37</v>
      </c>
      <c r="P963" t="s">
        <v>41</v>
      </c>
      <c r="Q963">
        <v>3.5</v>
      </c>
      <c r="R963" t="s">
        <v>30</v>
      </c>
      <c r="S963" t="s">
        <v>31</v>
      </c>
      <c r="T963">
        <v>2024</v>
      </c>
    </row>
    <row r="964" spans="1:20" x14ac:dyDescent="0.3">
      <c r="A964" t="s">
        <v>1436</v>
      </c>
      <c r="B964" t="s">
        <v>549</v>
      </c>
      <c r="C964" t="s">
        <v>136</v>
      </c>
      <c r="D964" t="s">
        <v>132</v>
      </c>
      <c r="E964" t="s">
        <v>133</v>
      </c>
      <c r="F964" t="s">
        <v>45</v>
      </c>
      <c r="G964" t="s">
        <v>46</v>
      </c>
      <c r="H964" t="s">
        <v>106</v>
      </c>
      <c r="I964" t="s">
        <v>169</v>
      </c>
      <c r="J964">
        <v>1</v>
      </c>
      <c r="K964">
        <v>47055.28</v>
      </c>
      <c r="L964">
        <v>5</v>
      </c>
      <c r="M964">
        <v>47055.28</v>
      </c>
      <c r="N964">
        <v>38736.43</v>
      </c>
      <c r="O964">
        <v>8318.85</v>
      </c>
      <c r="P964" t="s">
        <v>122</v>
      </c>
      <c r="Q964">
        <v>3</v>
      </c>
      <c r="R964" t="s">
        <v>30</v>
      </c>
      <c r="S964" t="s">
        <v>119</v>
      </c>
      <c r="T964">
        <v>2024</v>
      </c>
    </row>
    <row r="965" spans="1:20" x14ac:dyDescent="0.3">
      <c r="A965" t="s">
        <v>1437</v>
      </c>
      <c r="B965" t="s">
        <v>416</v>
      </c>
      <c r="C965" t="s">
        <v>80</v>
      </c>
      <c r="D965" t="s">
        <v>132</v>
      </c>
      <c r="E965" t="s">
        <v>158</v>
      </c>
      <c r="F965" t="s">
        <v>54</v>
      </c>
      <c r="G965" t="s">
        <v>228</v>
      </c>
      <c r="H965" t="s">
        <v>179</v>
      </c>
      <c r="I965" t="s">
        <v>118</v>
      </c>
      <c r="J965">
        <v>4</v>
      </c>
      <c r="K965">
        <v>30706.15</v>
      </c>
      <c r="L965">
        <v>10</v>
      </c>
      <c r="M965">
        <v>122824.6</v>
      </c>
      <c r="N965">
        <v>91550.85</v>
      </c>
      <c r="O965">
        <v>31273.75</v>
      </c>
      <c r="P965" t="s">
        <v>41</v>
      </c>
      <c r="Q965">
        <v>2.9</v>
      </c>
      <c r="R965" t="s">
        <v>30</v>
      </c>
      <c r="S965" t="s">
        <v>162</v>
      </c>
      <c r="T965">
        <v>2024</v>
      </c>
    </row>
    <row r="966" spans="1:20" x14ac:dyDescent="0.3">
      <c r="A966" t="s">
        <v>1438</v>
      </c>
      <c r="B966" t="s">
        <v>634</v>
      </c>
      <c r="C966" t="s">
        <v>97</v>
      </c>
      <c r="D966" t="s">
        <v>23</v>
      </c>
      <c r="E966" t="s">
        <v>24</v>
      </c>
      <c r="F966" t="s">
        <v>45</v>
      </c>
      <c r="G966" t="s">
        <v>46</v>
      </c>
      <c r="H966" t="s">
        <v>176</v>
      </c>
      <c r="I966" t="s">
        <v>48</v>
      </c>
      <c r="J966">
        <v>4</v>
      </c>
      <c r="K966">
        <v>659.73</v>
      </c>
      <c r="L966">
        <v>30</v>
      </c>
      <c r="M966">
        <v>2638.92</v>
      </c>
      <c r="N966">
        <v>1888.81</v>
      </c>
      <c r="O966">
        <v>750.11</v>
      </c>
      <c r="P966" t="s">
        <v>41</v>
      </c>
      <c r="Q966">
        <v>3.5</v>
      </c>
      <c r="R966" t="s">
        <v>159</v>
      </c>
      <c r="S966" t="s">
        <v>42</v>
      </c>
      <c r="T966">
        <v>2024</v>
      </c>
    </row>
    <row r="967" spans="1:20" x14ac:dyDescent="0.3">
      <c r="A967" t="s">
        <v>1439</v>
      </c>
      <c r="B967" t="s">
        <v>293</v>
      </c>
      <c r="C967" t="s">
        <v>61</v>
      </c>
      <c r="D967" t="s">
        <v>35</v>
      </c>
      <c r="E967" t="s">
        <v>36</v>
      </c>
      <c r="F967" t="s">
        <v>45</v>
      </c>
      <c r="G967" t="s">
        <v>46</v>
      </c>
      <c r="H967" t="s">
        <v>100</v>
      </c>
      <c r="I967" t="s">
        <v>169</v>
      </c>
      <c r="J967">
        <v>4</v>
      </c>
      <c r="K967">
        <v>14341.13</v>
      </c>
      <c r="L967">
        <v>5</v>
      </c>
      <c r="M967">
        <v>57364.52</v>
      </c>
      <c r="N967">
        <v>42803.06</v>
      </c>
      <c r="O967">
        <v>14561.46</v>
      </c>
      <c r="P967" t="s">
        <v>122</v>
      </c>
      <c r="Q967">
        <v>1.5</v>
      </c>
      <c r="R967" t="s">
        <v>30</v>
      </c>
      <c r="S967" t="s">
        <v>119</v>
      </c>
      <c r="T967">
        <v>2024</v>
      </c>
    </row>
    <row r="968" spans="1:20" x14ac:dyDescent="0.3">
      <c r="A968" t="s">
        <v>1440</v>
      </c>
      <c r="B968" t="s">
        <v>280</v>
      </c>
      <c r="C968" t="s">
        <v>97</v>
      </c>
      <c r="D968" t="s">
        <v>35</v>
      </c>
      <c r="E968" t="s">
        <v>36</v>
      </c>
      <c r="F968" t="s">
        <v>25</v>
      </c>
      <c r="G968" t="s">
        <v>26</v>
      </c>
      <c r="H968" t="s">
        <v>27</v>
      </c>
      <c r="I968" t="s">
        <v>112</v>
      </c>
      <c r="J968">
        <v>4</v>
      </c>
      <c r="K968">
        <v>22923.93</v>
      </c>
      <c r="L968">
        <v>20</v>
      </c>
      <c r="M968">
        <v>91695.72</v>
      </c>
      <c r="N968">
        <v>72269.460000000006</v>
      </c>
      <c r="O968">
        <v>19426.259999999998</v>
      </c>
      <c r="P968" t="s">
        <v>113</v>
      </c>
      <c r="Q968">
        <v>2.7</v>
      </c>
      <c r="R968" t="s">
        <v>30</v>
      </c>
      <c r="S968" t="s">
        <v>42</v>
      </c>
      <c r="T968">
        <v>2024</v>
      </c>
    </row>
    <row r="969" spans="1:20" x14ac:dyDescent="0.3">
      <c r="A969" t="s">
        <v>1441</v>
      </c>
      <c r="B969" t="s">
        <v>829</v>
      </c>
      <c r="C969" t="s">
        <v>34</v>
      </c>
      <c r="D969" t="s">
        <v>23</v>
      </c>
      <c r="E969" t="s">
        <v>24</v>
      </c>
      <c r="F969" t="s">
        <v>62</v>
      </c>
      <c r="G969" t="s">
        <v>63</v>
      </c>
      <c r="H969" t="s">
        <v>83</v>
      </c>
      <c r="I969" t="s">
        <v>143</v>
      </c>
      <c r="J969">
        <v>2</v>
      </c>
      <c r="K969">
        <v>20766.47</v>
      </c>
      <c r="L969">
        <v>10</v>
      </c>
      <c r="M969">
        <v>41532.94</v>
      </c>
      <c r="N969">
        <v>34673.769999999997</v>
      </c>
      <c r="O969">
        <v>6859.17</v>
      </c>
      <c r="P969" t="s">
        <v>113</v>
      </c>
      <c r="Q969">
        <v>1.8</v>
      </c>
      <c r="R969" t="s">
        <v>30</v>
      </c>
      <c r="S969" t="s">
        <v>107</v>
      </c>
      <c r="T969">
        <v>2024</v>
      </c>
    </row>
    <row r="970" spans="1:20" x14ac:dyDescent="0.3">
      <c r="A970" t="s">
        <v>1442</v>
      </c>
      <c r="B970" t="s">
        <v>822</v>
      </c>
      <c r="C970" t="s">
        <v>22</v>
      </c>
      <c r="D970" t="s">
        <v>81</v>
      </c>
      <c r="E970" t="s">
        <v>82</v>
      </c>
      <c r="F970" t="s">
        <v>54</v>
      </c>
      <c r="G970" t="s">
        <v>228</v>
      </c>
      <c r="H970" t="s">
        <v>179</v>
      </c>
      <c r="I970" t="s">
        <v>118</v>
      </c>
      <c r="J970">
        <v>5</v>
      </c>
      <c r="K970">
        <v>36615.730000000003</v>
      </c>
      <c r="L970">
        <v>30</v>
      </c>
      <c r="M970">
        <v>183078.65</v>
      </c>
      <c r="N970">
        <v>137651.34</v>
      </c>
      <c r="O970">
        <v>45427.31</v>
      </c>
      <c r="P970" t="s">
        <v>144</v>
      </c>
      <c r="Q970">
        <v>2</v>
      </c>
      <c r="R970" t="s">
        <v>30</v>
      </c>
      <c r="S970" t="s">
        <v>107</v>
      </c>
      <c r="T970">
        <v>2024</v>
      </c>
    </row>
    <row r="971" spans="1:20" x14ac:dyDescent="0.3">
      <c r="A971" t="s">
        <v>1443</v>
      </c>
      <c r="B971" t="s">
        <v>263</v>
      </c>
      <c r="C971" t="s">
        <v>168</v>
      </c>
      <c r="D971" t="s">
        <v>52</v>
      </c>
      <c r="E971" t="s">
        <v>53</v>
      </c>
      <c r="F971" t="s">
        <v>37</v>
      </c>
      <c r="G971" t="s">
        <v>38</v>
      </c>
      <c r="H971" t="s">
        <v>140</v>
      </c>
      <c r="I971" t="s">
        <v>40</v>
      </c>
      <c r="J971">
        <v>4</v>
      </c>
      <c r="K971">
        <v>879.25</v>
      </c>
      <c r="L971">
        <v>20</v>
      </c>
      <c r="M971">
        <v>3517</v>
      </c>
      <c r="N971">
        <v>2394.89</v>
      </c>
      <c r="O971">
        <v>1122.1099999999999</v>
      </c>
      <c r="P971" t="s">
        <v>73</v>
      </c>
      <c r="Q971">
        <v>4.9000000000000004</v>
      </c>
      <c r="R971" t="s">
        <v>30</v>
      </c>
      <c r="S971" t="s">
        <v>31</v>
      </c>
      <c r="T971">
        <v>2024</v>
      </c>
    </row>
    <row r="972" spans="1:20" x14ac:dyDescent="0.3">
      <c r="A972" t="s">
        <v>1444</v>
      </c>
      <c r="B972" t="s">
        <v>305</v>
      </c>
      <c r="C972" t="s">
        <v>61</v>
      </c>
      <c r="D972" t="s">
        <v>125</v>
      </c>
      <c r="E972" t="s">
        <v>126</v>
      </c>
      <c r="F972" t="s">
        <v>62</v>
      </c>
      <c r="G972" t="s">
        <v>71</v>
      </c>
      <c r="H972" t="s">
        <v>152</v>
      </c>
      <c r="I972" t="s">
        <v>165</v>
      </c>
      <c r="J972">
        <v>4</v>
      </c>
      <c r="K972">
        <v>8571.5499999999993</v>
      </c>
      <c r="L972">
        <v>10</v>
      </c>
      <c r="M972">
        <v>34286.199999999997</v>
      </c>
      <c r="N972">
        <v>23333.9</v>
      </c>
      <c r="O972">
        <v>10952.3</v>
      </c>
      <c r="P972" t="s">
        <v>73</v>
      </c>
      <c r="Q972">
        <v>3.9</v>
      </c>
      <c r="R972" t="s">
        <v>30</v>
      </c>
      <c r="S972" t="s">
        <v>87</v>
      </c>
      <c r="T972">
        <v>2025</v>
      </c>
    </row>
    <row r="973" spans="1:20" x14ac:dyDescent="0.3">
      <c r="A973" t="s">
        <v>1445</v>
      </c>
      <c r="B973" t="s">
        <v>752</v>
      </c>
      <c r="C973" t="s">
        <v>90</v>
      </c>
      <c r="D973" t="s">
        <v>132</v>
      </c>
      <c r="E973" t="s">
        <v>158</v>
      </c>
      <c r="F973" t="s">
        <v>54</v>
      </c>
      <c r="G973" t="s">
        <v>201</v>
      </c>
      <c r="H973" t="s">
        <v>91</v>
      </c>
      <c r="I973" t="s">
        <v>93</v>
      </c>
      <c r="J973">
        <v>5</v>
      </c>
      <c r="K973">
        <v>23125.33</v>
      </c>
      <c r="L973">
        <v>5</v>
      </c>
      <c r="M973">
        <v>115626.65</v>
      </c>
      <c r="N973">
        <v>77929.600000000006</v>
      </c>
      <c r="O973">
        <v>37697.050000000003</v>
      </c>
      <c r="P973" t="s">
        <v>29</v>
      </c>
      <c r="Q973">
        <v>3.7</v>
      </c>
      <c r="R973" t="s">
        <v>30</v>
      </c>
      <c r="S973" t="s">
        <v>87</v>
      </c>
      <c r="T973">
        <v>2025</v>
      </c>
    </row>
    <row r="974" spans="1:20" x14ac:dyDescent="0.3">
      <c r="A974" t="s">
        <v>1446</v>
      </c>
      <c r="B974" t="s">
        <v>335</v>
      </c>
      <c r="C974" t="s">
        <v>200</v>
      </c>
      <c r="D974" t="s">
        <v>132</v>
      </c>
      <c r="E974" t="s">
        <v>158</v>
      </c>
      <c r="F974" t="s">
        <v>25</v>
      </c>
      <c r="G974" t="s">
        <v>26</v>
      </c>
      <c r="H974" t="s">
        <v>27</v>
      </c>
      <c r="I974" t="s">
        <v>28</v>
      </c>
      <c r="J974">
        <v>3</v>
      </c>
      <c r="K974">
        <v>5712.21</v>
      </c>
      <c r="L974">
        <v>15</v>
      </c>
      <c r="M974">
        <v>17136.63</v>
      </c>
      <c r="N974">
        <v>11780.62</v>
      </c>
      <c r="O974">
        <v>5356.01</v>
      </c>
      <c r="P974" t="s">
        <v>41</v>
      </c>
      <c r="Q974">
        <v>3.6</v>
      </c>
      <c r="R974" t="s">
        <v>30</v>
      </c>
      <c r="S974" t="s">
        <v>31</v>
      </c>
      <c r="T974">
        <v>2024</v>
      </c>
    </row>
    <row r="975" spans="1:20" x14ac:dyDescent="0.3">
      <c r="A975" t="s">
        <v>1447</v>
      </c>
      <c r="B975" t="s">
        <v>259</v>
      </c>
      <c r="C975" t="s">
        <v>80</v>
      </c>
      <c r="D975" t="s">
        <v>23</v>
      </c>
      <c r="E975" t="s">
        <v>24</v>
      </c>
      <c r="F975" t="s">
        <v>37</v>
      </c>
      <c r="G975" t="s">
        <v>38</v>
      </c>
      <c r="H975" t="s">
        <v>140</v>
      </c>
      <c r="I975" t="s">
        <v>40</v>
      </c>
      <c r="J975">
        <v>2</v>
      </c>
      <c r="K975">
        <v>1434.23</v>
      </c>
      <c r="L975">
        <v>30</v>
      </c>
      <c r="M975">
        <v>2868.46</v>
      </c>
      <c r="N975">
        <v>2409.3200000000002</v>
      </c>
      <c r="O975">
        <v>459.14</v>
      </c>
      <c r="P975" t="s">
        <v>41</v>
      </c>
      <c r="Q975">
        <v>3.5</v>
      </c>
      <c r="R975" t="s">
        <v>30</v>
      </c>
      <c r="S975" t="s">
        <v>94</v>
      </c>
      <c r="T975">
        <v>2024</v>
      </c>
    </row>
    <row r="976" spans="1:20" x14ac:dyDescent="0.3">
      <c r="A976" t="s">
        <v>1448</v>
      </c>
      <c r="B976" t="s">
        <v>795</v>
      </c>
      <c r="C976" t="s">
        <v>200</v>
      </c>
      <c r="D976" t="s">
        <v>69</v>
      </c>
      <c r="E976" t="s">
        <v>70</v>
      </c>
      <c r="F976" t="s">
        <v>25</v>
      </c>
      <c r="G976" t="s">
        <v>111</v>
      </c>
      <c r="H976" t="s">
        <v>221</v>
      </c>
      <c r="I976" t="s">
        <v>28</v>
      </c>
      <c r="J976">
        <v>2</v>
      </c>
      <c r="K976">
        <v>43163.16</v>
      </c>
      <c r="L976">
        <v>30</v>
      </c>
      <c r="M976">
        <v>86326.32</v>
      </c>
      <c r="N976">
        <v>69186.570000000007</v>
      </c>
      <c r="O976">
        <v>17139.75</v>
      </c>
      <c r="P976" t="s">
        <v>29</v>
      </c>
      <c r="Q976">
        <v>1.9</v>
      </c>
      <c r="R976" t="s">
        <v>30</v>
      </c>
      <c r="S976" t="s">
        <v>42</v>
      </c>
      <c r="T976">
        <v>2024</v>
      </c>
    </row>
    <row r="977" spans="1:20" x14ac:dyDescent="0.3">
      <c r="A977" t="s">
        <v>1449</v>
      </c>
      <c r="B977" t="s">
        <v>578</v>
      </c>
      <c r="C977" t="s">
        <v>90</v>
      </c>
      <c r="D977" t="s">
        <v>23</v>
      </c>
      <c r="E977" t="s">
        <v>24</v>
      </c>
      <c r="F977" t="s">
        <v>62</v>
      </c>
      <c r="G977" t="s">
        <v>63</v>
      </c>
      <c r="H977" t="s">
        <v>271</v>
      </c>
      <c r="I977" t="s">
        <v>65</v>
      </c>
      <c r="J977">
        <v>1</v>
      </c>
      <c r="K977">
        <v>38545.29</v>
      </c>
      <c r="L977">
        <v>10</v>
      </c>
      <c r="M977">
        <v>38545.29</v>
      </c>
      <c r="N977">
        <v>29265.34</v>
      </c>
      <c r="O977">
        <v>9279.9500000000007</v>
      </c>
      <c r="P977" t="s">
        <v>73</v>
      </c>
      <c r="Q977">
        <v>1.3</v>
      </c>
      <c r="R977" t="s">
        <v>30</v>
      </c>
      <c r="S977" t="s">
        <v>31</v>
      </c>
      <c r="T977">
        <v>2024</v>
      </c>
    </row>
    <row r="978" spans="1:20" x14ac:dyDescent="0.3">
      <c r="A978" t="s">
        <v>1450</v>
      </c>
      <c r="B978" t="s">
        <v>1296</v>
      </c>
      <c r="C978" t="s">
        <v>97</v>
      </c>
      <c r="D978" t="s">
        <v>69</v>
      </c>
      <c r="E978" t="s">
        <v>155</v>
      </c>
      <c r="F978" t="s">
        <v>45</v>
      </c>
      <c r="G978" t="s">
        <v>46</v>
      </c>
      <c r="H978" t="s">
        <v>106</v>
      </c>
      <c r="I978" t="s">
        <v>101</v>
      </c>
      <c r="J978">
        <v>2</v>
      </c>
      <c r="K978">
        <v>8188.18</v>
      </c>
      <c r="L978">
        <v>30</v>
      </c>
      <c r="M978">
        <v>16376.36</v>
      </c>
      <c r="N978">
        <v>12528.68</v>
      </c>
      <c r="O978">
        <v>3847.68</v>
      </c>
      <c r="P978" t="s">
        <v>73</v>
      </c>
      <c r="Q978">
        <v>1.3</v>
      </c>
      <c r="R978" t="s">
        <v>30</v>
      </c>
      <c r="S978" t="s">
        <v>162</v>
      </c>
      <c r="T978">
        <v>2024</v>
      </c>
    </row>
    <row r="979" spans="1:20" x14ac:dyDescent="0.3">
      <c r="A979" t="s">
        <v>1451</v>
      </c>
      <c r="B979" t="s">
        <v>60</v>
      </c>
      <c r="C979" t="s">
        <v>97</v>
      </c>
      <c r="D979" t="s">
        <v>81</v>
      </c>
      <c r="E979" t="s">
        <v>128</v>
      </c>
      <c r="F979" t="s">
        <v>62</v>
      </c>
      <c r="G979" t="s">
        <v>71</v>
      </c>
      <c r="H979" t="s">
        <v>83</v>
      </c>
      <c r="I979" t="s">
        <v>165</v>
      </c>
      <c r="J979">
        <v>4</v>
      </c>
      <c r="K979">
        <v>35763.480000000003</v>
      </c>
      <c r="L979">
        <v>10</v>
      </c>
      <c r="M979">
        <v>143053.92000000001</v>
      </c>
      <c r="N979">
        <v>108191.48</v>
      </c>
      <c r="O979">
        <v>34862.44</v>
      </c>
      <c r="P979" t="s">
        <v>41</v>
      </c>
      <c r="Q979">
        <v>3.7</v>
      </c>
      <c r="R979" t="s">
        <v>30</v>
      </c>
      <c r="S979" t="s">
        <v>42</v>
      </c>
      <c r="T979">
        <v>2024</v>
      </c>
    </row>
    <row r="980" spans="1:20" x14ac:dyDescent="0.3">
      <c r="A980" t="s">
        <v>1452</v>
      </c>
      <c r="B980" t="s">
        <v>1244</v>
      </c>
      <c r="C980" t="s">
        <v>116</v>
      </c>
      <c r="D980" t="s">
        <v>98</v>
      </c>
      <c r="E980" t="s">
        <v>99</v>
      </c>
      <c r="F980" t="s">
        <v>62</v>
      </c>
      <c r="G980" t="s">
        <v>63</v>
      </c>
      <c r="H980" t="s">
        <v>64</v>
      </c>
      <c r="I980" t="s">
        <v>143</v>
      </c>
      <c r="J980">
        <v>2</v>
      </c>
      <c r="K980">
        <v>10818.91</v>
      </c>
      <c r="L980">
        <v>5</v>
      </c>
      <c r="M980">
        <v>21637.82</v>
      </c>
      <c r="N980">
        <v>14871.67</v>
      </c>
      <c r="O980">
        <v>6766.15</v>
      </c>
      <c r="P980" t="s">
        <v>73</v>
      </c>
      <c r="Q980">
        <v>1.8</v>
      </c>
      <c r="R980" t="s">
        <v>30</v>
      </c>
      <c r="S980" t="s">
        <v>162</v>
      </c>
      <c r="T980">
        <v>2024</v>
      </c>
    </row>
    <row r="981" spans="1:20" x14ac:dyDescent="0.3">
      <c r="A981" t="s">
        <v>1453</v>
      </c>
      <c r="B981" t="s">
        <v>687</v>
      </c>
      <c r="C981" t="s">
        <v>34</v>
      </c>
      <c r="D981" t="s">
        <v>132</v>
      </c>
      <c r="E981" t="s">
        <v>133</v>
      </c>
      <c r="F981" t="s">
        <v>45</v>
      </c>
      <c r="G981" t="s">
        <v>46</v>
      </c>
      <c r="H981" t="s">
        <v>100</v>
      </c>
      <c r="I981" t="s">
        <v>101</v>
      </c>
      <c r="J981">
        <v>5</v>
      </c>
      <c r="K981">
        <v>35506.410000000003</v>
      </c>
      <c r="L981">
        <v>5</v>
      </c>
      <c r="M981">
        <v>177532.05</v>
      </c>
      <c r="N981">
        <v>144519.37</v>
      </c>
      <c r="O981">
        <v>33012.68</v>
      </c>
      <c r="P981" t="s">
        <v>73</v>
      </c>
      <c r="Q981">
        <v>1.2</v>
      </c>
      <c r="R981" t="s">
        <v>30</v>
      </c>
      <c r="S981" t="s">
        <v>102</v>
      </c>
      <c r="T981">
        <v>2024</v>
      </c>
    </row>
    <row r="982" spans="1:20" x14ac:dyDescent="0.3">
      <c r="A982" t="s">
        <v>1454</v>
      </c>
      <c r="B982" t="s">
        <v>241</v>
      </c>
      <c r="C982" t="s">
        <v>168</v>
      </c>
      <c r="D982" t="s">
        <v>125</v>
      </c>
      <c r="E982" t="s">
        <v>126</v>
      </c>
      <c r="F982" t="s">
        <v>54</v>
      </c>
      <c r="G982" t="s">
        <v>55</v>
      </c>
      <c r="H982" t="s">
        <v>92</v>
      </c>
      <c r="I982" t="s">
        <v>185</v>
      </c>
      <c r="J982">
        <v>5</v>
      </c>
      <c r="K982">
        <v>19010.38</v>
      </c>
      <c r="L982">
        <v>15</v>
      </c>
      <c r="M982">
        <v>95051.9</v>
      </c>
      <c r="N982">
        <v>78246.25</v>
      </c>
      <c r="O982">
        <v>16805.650000000001</v>
      </c>
      <c r="P982" t="s">
        <v>73</v>
      </c>
      <c r="Q982">
        <v>1.5</v>
      </c>
      <c r="R982" t="s">
        <v>30</v>
      </c>
      <c r="S982" t="s">
        <v>78</v>
      </c>
      <c r="T982">
        <v>2024</v>
      </c>
    </row>
    <row r="983" spans="1:20" x14ac:dyDescent="0.3">
      <c r="A983" t="s">
        <v>1455</v>
      </c>
      <c r="B983" t="s">
        <v>809</v>
      </c>
      <c r="C983" t="s">
        <v>136</v>
      </c>
      <c r="D983" t="s">
        <v>132</v>
      </c>
      <c r="E983" t="s">
        <v>133</v>
      </c>
      <c r="F983" t="s">
        <v>25</v>
      </c>
      <c r="G983" t="s">
        <v>111</v>
      </c>
      <c r="H983" t="s">
        <v>221</v>
      </c>
      <c r="I983" t="s">
        <v>28</v>
      </c>
      <c r="J983">
        <v>3</v>
      </c>
      <c r="K983">
        <v>29678.85</v>
      </c>
      <c r="L983">
        <v>20</v>
      </c>
      <c r="M983">
        <v>89036.55</v>
      </c>
      <c r="N983">
        <v>69460.08</v>
      </c>
      <c r="O983">
        <v>19576.47</v>
      </c>
      <c r="P983" t="s">
        <v>41</v>
      </c>
      <c r="Q983">
        <v>2.9</v>
      </c>
      <c r="R983" t="s">
        <v>30</v>
      </c>
      <c r="S983" t="s">
        <v>74</v>
      </c>
      <c r="T983">
        <v>2024</v>
      </c>
    </row>
    <row r="984" spans="1:20" x14ac:dyDescent="0.3">
      <c r="A984" t="s">
        <v>1456</v>
      </c>
      <c r="B984" t="s">
        <v>273</v>
      </c>
      <c r="C984" t="s">
        <v>61</v>
      </c>
      <c r="D984" t="s">
        <v>132</v>
      </c>
      <c r="E984" t="s">
        <v>133</v>
      </c>
      <c r="F984" t="s">
        <v>25</v>
      </c>
      <c r="G984" t="s">
        <v>26</v>
      </c>
      <c r="H984" t="s">
        <v>121</v>
      </c>
      <c r="I984" t="s">
        <v>112</v>
      </c>
      <c r="J984">
        <v>5</v>
      </c>
      <c r="K984">
        <v>5412.9</v>
      </c>
      <c r="L984">
        <v>5</v>
      </c>
      <c r="M984">
        <v>27064.5</v>
      </c>
      <c r="N984">
        <v>20799.169999999998</v>
      </c>
      <c r="O984">
        <v>6265.33</v>
      </c>
      <c r="P984" t="s">
        <v>113</v>
      </c>
      <c r="Q984">
        <v>2.1</v>
      </c>
      <c r="R984" t="s">
        <v>30</v>
      </c>
      <c r="S984" t="s">
        <v>119</v>
      </c>
      <c r="T984">
        <v>2024</v>
      </c>
    </row>
    <row r="985" spans="1:20" x14ac:dyDescent="0.3">
      <c r="A985" t="s">
        <v>1457</v>
      </c>
      <c r="B985" t="s">
        <v>659</v>
      </c>
      <c r="C985" t="s">
        <v>61</v>
      </c>
      <c r="D985" t="s">
        <v>69</v>
      </c>
      <c r="E985" t="s">
        <v>70</v>
      </c>
      <c r="F985" t="s">
        <v>37</v>
      </c>
      <c r="G985" t="s">
        <v>38</v>
      </c>
      <c r="H985" t="s">
        <v>39</v>
      </c>
      <c r="I985" t="s">
        <v>40</v>
      </c>
      <c r="J985">
        <v>3</v>
      </c>
      <c r="K985">
        <v>22890.95</v>
      </c>
      <c r="L985">
        <v>10</v>
      </c>
      <c r="M985">
        <v>68672.850000000006</v>
      </c>
      <c r="N985">
        <v>57046.07</v>
      </c>
      <c r="O985">
        <v>11626.78</v>
      </c>
      <c r="P985" t="s">
        <v>122</v>
      </c>
      <c r="Q985">
        <v>3</v>
      </c>
      <c r="R985" t="s">
        <v>66</v>
      </c>
      <c r="S985" t="s">
        <v>58</v>
      </c>
      <c r="T985">
        <v>2024</v>
      </c>
    </row>
    <row r="986" spans="1:20" x14ac:dyDescent="0.3">
      <c r="A986" t="s">
        <v>1458</v>
      </c>
      <c r="B986" t="s">
        <v>387</v>
      </c>
      <c r="C986" t="s">
        <v>61</v>
      </c>
      <c r="D986" t="s">
        <v>81</v>
      </c>
      <c r="E986" t="s">
        <v>82</v>
      </c>
      <c r="F986" t="s">
        <v>37</v>
      </c>
      <c r="G986" t="s">
        <v>38</v>
      </c>
      <c r="H986" t="s">
        <v>39</v>
      </c>
      <c r="I986" t="s">
        <v>40</v>
      </c>
      <c r="J986">
        <v>5</v>
      </c>
      <c r="K986">
        <v>40905.69</v>
      </c>
      <c r="L986">
        <v>30</v>
      </c>
      <c r="M986">
        <v>204528.45</v>
      </c>
      <c r="N986">
        <v>149921</v>
      </c>
      <c r="O986">
        <v>54607.45</v>
      </c>
      <c r="P986" t="s">
        <v>113</v>
      </c>
      <c r="Q986">
        <v>1.9</v>
      </c>
      <c r="R986" t="s">
        <v>30</v>
      </c>
      <c r="S986" t="s">
        <v>87</v>
      </c>
      <c r="T986">
        <v>2025</v>
      </c>
    </row>
    <row r="987" spans="1:20" x14ac:dyDescent="0.3">
      <c r="A987" t="s">
        <v>1459</v>
      </c>
      <c r="B987" t="s">
        <v>154</v>
      </c>
      <c r="C987" t="s">
        <v>34</v>
      </c>
      <c r="D987" t="s">
        <v>52</v>
      </c>
      <c r="E987" t="s">
        <v>110</v>
      </c>
      <c r="F987" t="s">
        <v>62</v>
      </c>
      <c r="G987" t="s">
        <v>63</v>
      </c>
      <c r="H987" t="s">
        <v>152</v>
      </c>
      <c r="I987" t="s">
        <v>65</v>
      </c>
      <c r="J987">
        <v>3</v>
      </c>
      <c r="K987">
        <v>17253.669999999998</v>
      </c>
      <c r="L987">
        <v>5</v>
      </c>
      <c r="M987">
        <v>51761.01</v>
      </c>
      <c r="N987">
        <v>40989.449999999997</v>
      </c>
      <c r="O987">
        <v>10771.56</v>
      </c>
      <c r="P987" t="s">
        <v>29</v>
      </c>
      <c r="Q987">
        <v>4.5999999999999996</v>
      </c>
      <c r="R987" t="s">
        <v>30</v>
      </c>
      <c r="S987" t="s">
        <v>58</v>
      </c>
      <c r="T987">
        <v>2024</v>
      </c>
    </row>
    <row r="988" spans="1:20" x14ac:dyDescent="0.3">
      <c r="A988" t="s">
        <v>1460</v>
      </c>
      <c r="B988" t="s">
        <v>1172</v>
      </c>
      <c r="C988" t="s">
        <v>200</v>
      </c>
      <c r="D988" t="s">
        <v>35</v>
      </c>
      <c r="E988" t="s">
        <v>36</v>
      </c>
      <c r="F988" t="s">
        <v>25</v>
      </c>
      <c r="G988" t="s">
        <v>111</v>
      </c>
      <c r="H988" t="s">
        <v>27</v>
      </c>
      <c r="I988" t="s">
        <v>28</v>
      </c>
      <c r="J988">
        <v>5</v>
      </c>
      <c r="K988">
        <v>27920.2</v>
      </c>
      <c r="L988">
        <v>30</v>
      </c>
      <c r="M988">
        <v>139601</v>
      </c>
      <c r="N988">
        <v>97531.72</v>
      </c>
      <c r="O988">
        <v>42069.279999999999</v>
      </c>
      <c r="P988" t="s">
        <v>73</v>
      </c>
      <c r="Q988">
        <v>2.7</v>
      </c>
      <c r="R988" t="s">
        <v>30</v>
      </c>
      <c r="S988" t="s">
        <v>102</v>
      </c>
      <c r="T988">
        <v>2024</v>
      </c>
    </row>
    <row r="989" spans="1:20" x14ac:dyDescent="0.3">
      <c r="A989" t="s">
        <v>1461</v>
      </c>
      <c r="B989" t="s">
        <v>313</v>
      </c>
      <c r="C989" t="s">
        <v>116</v>
      </c>
      <c r="D989" t="s">
        <v>132</v>
      </c>
      <c r="E989" t="s">
        <v>133</v>
      </c>
      <c r="F989" t="s">
        <v>37</v>
      </c>
      <c r="G989" t="s">
        <v>38</v>
      </c>
      <c r="H989" t="s">
        <v>86</v>
      </c>
      <c r="I989" t="s">
        <v>40</v>
      </c>
      <c r="J989">
        <v>5</v>
      </c>
      <c r="K989">
        <v>46055.88</v>
      </c>
      <c r="L989">
        <v>10</v>
      </c>
      <c r="M989">
        <v>230279.4</v>
      </c>
      <c r="N989">
        <v>195005.89</v>
      </c>
      <c r="O989">
        <v>35273.51</v>
      </c>
      <c r="P989" t="s">
        <v>113</v>
      </c>
      <c r="Q989">
        <v>4.2</v>
      </c>
      <c r="R989" t="s">
        <v>30</v>
      </c>
      <c r="S989" t="s">
        <v>42</v>
      </c>
      <c r="T989">
        <v>2024</v>
      </c>
    </row>
    <row r="990" spans="1:20" x14ac:dyDescent="0.3">
      <c r="A990" t="s">
        <v>1462</v>
      </c>
      <c r="B990" t="s">
        <v>395</v>
      </c>
      <c r="C990" t="s">
        <v>136</v>
      </c>
      <c r="D990" t="s">
        <v>69</v>
      </c>
      <c r="E990" t="s">
        <v>155</v>
      </c>
      <c r="F990" t="s">
        <v>54</v>
      </c>
      <c r="G990" t="s">
        <v>91</v>
      </c>
      <c r="H990" t="s">
        <v>56</v>
      </c>
      <c r="I990" t="s">
        <v>118</v>
      </c>
      <c r="J990">
        <v>4</v>
      </c>
      <c r="K990">
        <v>49569.3</v>
      </c>
      <c r="L990">
        <v>25</v>
      </c>
      <c r="M990">
        <v>198277.2</v>
      </c>
      <c r="N990">
        <v>129745.48</v>
      </c>
      <c r="O990">
        <v>68531.72</v>
      </c>
      <c r="P990" t="s">
        <v>113</v>
      </c>
      <c r="Q990">
        <v>1.2</v>
      </c>
      <c r="R990" t="s">
        <v>30</v>
      </c>
      <c r="S990" t="s">
        <v>49</v>
      </c>
      <c r="T990">
        <v>2024</v>
      </c>
    </row>
    <row r="991" spans="1:20" x14ac:dyDescent="0.3">
      <c r="A991" t="s">
        <v>1463</v>
      </c>
      <c r="B991" t="s">
        <v>220</v>
      </c>
      <c r="C991" t="s">
        <v>200</v>
      </c>
      <c r="D991" t="s">
        <v>125</v>
      </c>
      <c r="E991" t="s">
        <v>126</v>
      </c>
      <c r="F991" t="s">
        <v>25</v>
      </c>
      <c r="G991" t="s">
        <v>26</v>
      </c>
      <c r="H991" t="s">
        <v>27</v>
      </c>
      <c r="I991" t="s">
        <v>28</v>
      </c>
      <c r="J991">
        <v>5</v>
      </c>
      <c r="K991">
        <v>35948.160000000003</v>
      </c>
      <c r="L991">
        <v>5</v>
      </c>
      <c r="M991">
        <v>179740.79999999999</v>
      </c>
      <c r="N991">
        <v>131778.93</v>
      </c>
      <c r="O991">
        <v>47961.87</v>
      </c>
      <c r="P991" t="s">
        <v>73</v>
      </c>
      <c r="Q991">
        <v>2.5</v>
      </c>
      <c r="R991" t="s">
        <v>30</v>
      </c>
      <c r="S991" t="s">
        <v>74</v>
      </c>
      <c r="T991">
        <v>2024</v>
      </c>
    </row>
    <row r="992" spans="1:20" x14ac:dyDescent="0.3">
      <c r="A992" t="s">
        <v>1464</v>
      </c>
      <c r="B992" t="s">
        <v>241</v>
      </c>
      <c r="C992" t="s">
        <v>200</v>
      </c>
      <c r="D992" t="s">
        <v>132</v>
      </c>
      <c r="E992" t="s">
        <v>133</v>
      </c>
      <c r="F992" t="s">
        <v>25</v>
      </c>
      <c r="G992" t="s">
        <v>111</v>
      </c>
      <c r="H992" t="s">
        <v>221</v>
      </c>
      <c r="I992" t="s">
        <v>28</v>
      </c>
      <c r="J992">
        <v>5</v>
      </c>
      <c r="K992">
        <v>9189.91</v>
      </c>
      <c r="L992">
        <v>5</v>
      </c>
      <c r="M992">
        <v>45949.55</v>
      </c>
      <c r="N992">
        <v>37568.93</v>
      </c>
      <c r="O992">
        <v>8380.6200000000008</v>
      </c>
      <c r="P992" t="s">
        <v>73</v>
      </c>
      <c r="Q992">
        <v>4.9000000000000004</v>
      </c>
      <c r="R992" t="s">
        <v>30</v>
      </c>
      <c r="S992" t="s">
        <v>78</v>
      </c>
      <c r="T992">
        <v>2024</v>
      </c>
    </row>
    <row r="993" spans="1:20" x14ac:dyDescent="0.3">
      <c r="A993" t="s">
        <v>1465</v>
      </c>
      <c r="B993" t="s">
        <v>461</v>
      </c>
      <c r="C993" t="s">
        <v>90</v>
      </c>
      <c r="D993" t="s">
        <v>125</v>
      </c>
      <c r="E993" t="s">
        <v>126</v>
      </c>
      <c r="F993" t="s">
        <v>62</v>
      </c>
      <c r="G993" t="s">
        <v>71</v>
      </c>
      <c r="H993" t="s">
        <v>72</v>
      </c>
      <c r="I993" t="s">
        <v>143</v>
      </c>
      <c r="J993">
        <v>2</v>
      </c>
      <c r="K993">
        <v>6075.65</v>
      </c>
      <c r="L993">
        <v>10</v>
      </c>
      <c r="M993">
        <v>12151.3</v>
      </c>
      <c r="N993">
        <v>10051.26</v>
      </c>
      <c r="O993">
        <v>2100.04</v>
      </c>
      <c r="P993" t="s">
        <v>122</v>
      </c>
      <c r="Q993">
        <v>2.1</v>
      </c>
      <c r="R993" t="s">
        <v>30</v>
      </c>
      <c r="S993" t="s">
        <v>94</v>
      </c>
      <c r="T993">
        <v>2024</v>
      </c>
    </row>
    <row r="994" spans="1:20" x14ac:dyDescent="0.3">
      <c r="A994" t="s">
        <v>1466</v>
      </c>
      <c r="B994" t="s">
        <v>855</v>
      </c>
      <c r="C994" t="s">
        <v>200</v>
      </c>
      <c r="D994" t="s">
        <v>23</v>
      </c>
      <c r="E994" t="s">
        <v>24</v>
      </c>
      <c r="F994" t="s">
        <v>62</v>
      </c>
      <c r="G994" t="s">
        <v>71</v>
      </c>
      <c r="H994" t="s">
        <v>72</v>
      </c>
      <c r="I994" t="s">
        <v>165</v>
      </c>
      <c r="J994">
        <v>2</v>
      </c>
      <c r="K994">
        <v>25511.46</v>
      </c>
      <c r="L994">
        <v>25</v>
      </c>
      <c r="M994">
        <v>51022.92</v>
      </c>
      <c r="N994">
        <v>37602.94</v>
      </c>
      <c r="O994">
        <v>13419.98</v>
      </c>
      <c r="P994" t="s">
        <v>144</v>
      </c>
      <c r="Q994">
        <v>3.7</v>
      </c>
      <c r="R994" t="s">
        <v>30</v>
      </c>
      <c r="S994" t="s">
        <v>58</v>
      </c>
      <c r="T994">
        <v>2024</v>
      </c>
    </row>
    <row r="995" spans="1:20" x14ac:dyDescent="0.3">
      <c r="A995" t="s">
        <v>1467</v>
      </c>
      <c r="B995" t="s">
        <v>1162</v>
      </c>
      <c r="C995" t="s">
        <v>90</v>
      </c>
      <c r="D995" t="s">
        <v>52</v>
      </c>
      <c r="E995" t="s">
        <v>110</v>
      </c>
      <c r="F995" t="s">
        <v>62</v>
      </c>
      <c r="G995" t="s">
        <v>63</v>
      </c>
      <c r="H995" t="s">
        <v>72</v>
      </c>
      <c r="I995" t="s">
        <v>143</v>
      </c>
      <c r="J995">
        <v>4</v>
      </c>
      <c r="K995">
        <v>5815.52</v>
      </c>
      <c r="L995">
        <v>15</v>
      </c>
      <c r="M995">
        <v>23262.080000000002</v>
      </c>
      <c r="N995">
        <v>18368.09</v>
      </c>
      <c r="O995">
        <v>4893.99</v>
      </c>
      <c r="P995" t="s">
        <v>41</v>
      </c>
      <c r="Q995">
        <v>2.2000000000000002</v>
      </c>
      <c r="R995" t="s">
        <v>30</v>
      </c>
      <c r="S995" t="s">
        <v>74</v>
      </c>
      <c r="T995">
        <v>2024</v>
      </c>
    </row>
    <row r="996" spans="1:20" x14ac:dyDescent="0.3">
      <c r="A996" t="s">
        <v>1468</v>
      </c>
      <c r="B996" t="s">
        <v>1149</v>
      </c>
      <c r="C996" t="s">
        <v>90</v>
      </c>
      <c r="D996" t="s">
        <v>98</v>
      </c>
      <c r="E996" t="s">
        <v>99</v>
      </c>
      <c r="F996" t="s">
        <v>37</v>
      </c>
      <c r="G996" t="s">
        <v>38</v>
      </c>
      <c r="H996" t="s">
        <v>77</v>
      </c>
      <c r="I996" t="s">
        <v>40</v>
      </c>
      <c r="J996">
        <v>3</v>
      </c>
      <c r="K996">
        <v>11479.89</v>
      </c>
      <c r="L996">
        <v>25</v>
      </c>
      <c r="M996">
        <v>34439.67</v>
      </c>
      <c r="N996">
        <v>22879.58</v>
      </c>
      <c r="O996">
        <v>11560.09</v>
      </c>
      <c r="P996" t="s">
        <v>144</v>
      </c>
      <c r="Q996">
        <v>2.5</v>
      </c>
      <c r="R996" t="s">
        <v>30</v>
      </c>
      <c r="S996" t="s">
        <v>78</v>
      </c>
      <c r="T996">
        <v>2024</v>
      </c>
    </row>
    <row r="997" spans="1:20" x14ac:dyDescent="0.3">
      <c r="A997" t="s">
        <v>1469</v>
      </c>
      <c r="B997" t="s">
        <v>1312</v>
      </c>
      <c r="C997" t="s">
        <v>97</v>
      </c>
      <c r="D997" t="s">
        <v>98</v>
      </c>
      <c r="E997" t="s">
        <v>99</v>
      </c>
      <c r="F997" t="s">
        <v>54</v>
      </c>
      <c r="G997" t="s">
        <v>91</v>
      </c>
      <c r="H997" t="s">
        <v>117</v>
      </c>
      <c r="I997" t="s">
        <v>93</v>
      </c>
      <c r="J997">
        <v>3</v>
      </c>
      <c r="K997">
        <v>28995.81</v>
      </c>
      <c r="L997">
        <v>5</v>
      </c>
      <c r="M997">
        <v>86987.43</v>
      </c>
      <c r="N997">
        <v>72208</v>
      </c>
      <c r="O997">
        <v>14779.43</v>
      </c>
      <c r="P997" t="s">
        <v>113</v>
      </c>
      <c r="Q997">
        <v>5</v>
      </c>
      <c r="R997" t="s">
        <v>30</v>
      </c>
      <c r="S997" t="s">
        <v>87</v>
      </c>
      <c r="T997">
        <v>2025</v>
      </c>
    </row>
    <row r="998" spans="1:20" x14ac:dyDescent="0.3">
      <c r="A998" t="s">
        <v>1470</v>
      </c>
      <c r="B998" t="s">
        <v>33</v>
      </c>
      <c r="C998" t="s">
        <v>61</v>
      </c>
      <c r="D998" t="s">
        <v>132</v>
      </c>
      <c r="E998" t="s">
        <v>158</v>
      </c>
      <c r="F998" t="s">
        <v>45</v>
      </c>
      <c r="G998" t="s">
        <v>105</v>
      </c>
      <c r="H998" t="s">
        <v>100</v>
      </c>
      <c r="I998" t="s">
        <v>101</v>
      </c>
      <c r="J998">
        <v>2</v>
      </c>
      <c r="K998">
        <v>32799.51</v>
      </c>
      <c r="L998">
        <v>30</v>
      </c>
      <c r="M998">
        <v>65599.02</v>
      </c>
      <c r="N998">
        <v>46052.36</v>
      </c>
      <c r="O998">
        <v>19546.66</v>
      </c>
      <c r="P998" t="s">
        <v>73</v>
      </c>
      <c r="Q998">
        <v>2.4</v>
      </c>
      <c r="R998" t="s">
        <v>30</v>
      </c>
      <c r="S998" t="s">
        <v>42</v>
      </c>
      <c r="T998">
        <v>2024</v>
      </c>
    </row>
    <row r="999" spans="1:20" x14ac:dyDescent="0.3">
      <c r="A999" t="s">
        <v>1471</v>
      </c>
      <c r="B999" t="s">
        <v>1178</v>
      </c>
      <c r="C999" t="s">
        <v>97</v>
      </c>
      <c r="D999" t="s">
        <v>52</v>
      </c>
      <c r="E999" t="s">
        <v>110</v>
      </c>
      <c r="F999" t="s">
        <v>45</v>
      </c>
      <c r="G999" t="s">
        <v>46</v>
      </c>
      <c r="H999" t="s">
        <v>47</v>
      </c>
      <c r="I999" t="s">
        <v>48</v>
      </c>
      <c r="J999">
        <v>1</v>
      </c>
      <c r="K999">
        <v>40840.800000000003</v>
      </c>
      <c r="L999">
        <v>30</v>
      </c>
      <c r="M999">
        <v>40840.800000000003</v>
      </c>
      <c r="N999">
        <v>30803.16</v>
      </c>
      <c r="O999">
        <v>10037.64</v>
      </c>
      <c r="P999" t="s">
        <v>41</v>
      </c>
      <c r="Q999">
        <v>3.1</v>
      </c>
      <c r="R999" t="s">
        <v>30</v>
      </c>
      <c r="S999" t="s">
        <v>78</v>
      </c>
      <c r="T999">
        <v>2024</v>
      </c>
    </row>
    <row r="1000" spans="1:20" x14ac:dyDescent="0.3">
      <c r="A1000" t="s">
        <v>1472</v>
      </c>
      <c r="B1000" t="s">
        <v>362</v>
      </c>
      <c r="C1000" t="s">
        <v>168</v>
      </c>
      <c r="D1000" t="s">
        <v>23</v>
      </c>
      <c r="E1000" t="s">
        <v>24</v>
      </c>
      <c r="F1000" t="s">
        <v>62</v>
      </c>
      <c r="G1000" t="s">
        <v>63</v>
      </c>
      <c r="H1000" t="s">
        <v>64</v>
      </c>
      <c r="I1000" t="s">
        <v>165</v>
      </c>
      <c r="J1000">
        <v>4</v>
      </c>
      <c r="K1000">
        <v>34741.79</v>
      </c>
      <c r="L1000">
        <v>10</v>
      </c>
      <c r="M1000">
        <v>138967.16</v>
      </c>
      <c r="N1000">
        <v>110523.71</v>
      </c>
      <c r="O1000">
        <v>28443.45</v>
      </c>
      <c r="P1000" t="s">
        <v>144</v>
      </c>
      <c r="Q1000">
        <v>3.2</v>
      </c>
      <c r="R1000" t="s">
        <v>30</v>
      </c>
      <c r="S1000" t="s">
        <v>74</v>
      </c>
      <c r="T1000">
        <v>2024</v>
      </c>
    </row>
    <row r="1001" spans="1:20" x14ac:dyDescent="0.3">
      <c r="A1001" t="s">
        <v>1473</v>
      </c>
      <c r="B1001" t="s">
        <v>591</v>
      </c>
      <c r="C1001" t="s">
        <v>168</v>
      </c>
      <c r="D1001" t="s">
        <v>35</v>
      </c>
      <c r="E1001" t="s">
        <v>36</v>
      </c>
      <c r="F1001" t="s">
        <v>62</v>
      </c>
      <c r="G1001" t="s">
        <v>71</v>
      </c>
      <c r="H1001" t="s">
        <v>83</v>
      </c>
      <c r="I1001" t="s">
        <v>65</v>
      </c>
      <c r="J1001">
        <v>4</v>
      </c>
      <c r="K1001">
        <v>16698.12</v>
      </c>
      <c r="L1001">
        <v>20</v>
      </c>
      <c r="M1001">
        <v>66792.479999999996</v>
      </c>
      <c r="N1001">
        <v>56471.28</v>
      </c>
      <c r="O1001">
        <v>10321.200000000001</v>
      </c>
      <c r="P1001" t="s">
        <v>122</v>
      </c>
      <c r="Q1001">
        <v>1.6</v>
      </c>
      <c r="R1001" t="s">
        <v>30</v>
      </c>
      <c r="S1001" t="s">
        <v>94</v>
      </c>
      <c r="T1001">
        <v>2024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A205E-2D54-453F-A944-28A751EF3822}">
  <dimension ref="A3:M694"/>
  <sheetViews>
    <sheetView topLeftCell="A672" workbookViewId="0">
      <selection activeCell="G692" sqref="G692"/>
    </sheetView>
  </sheetViews>
  <sheetFormatPr defaultRowHeight="14.4" x14ac:dyDescent="0.3"/>
  <cols>
    <col min="1" max="1" width="14.21875" bestFit="1" customWidth="1"/>
    <col min="2" max="2" width="21.44140625" bestFit="1" customWidth="1"/>
    <col min="12" max="12" width="19.33203125" bestFit="1" customWidth="1"/>
    <col min="13" max="13" width="21.6640625" bestFit="1" customWidth="1"/>
  </cols>
  <sheetData>
    <row r="3" spans="1:12" x14ac:dyDescent="0.3">
      <c r="A3" s="2" t="s">
        <v>1474</v>
      </c>
      <c r="B3" t="s">
        <v>1476</v>
      </c>
      <c r="L3" t="s">
        <v>1476</v>
      </c>
    </row>
    <row r="4" spans="1:12" x14ac:dyDescent="0.3">
      <c r="A4" s="3" t="s">
        <v>87</v>
      </c>
      <c r="B4">
        <v>7160788.1699999999</v>
      </c>
      <c r="L4">
        <v>75213112.740000069</v>
      </c>
    </row>
    <row r="5" spans="1:12" x14ac:dyDescent="0.3">
      <c r="A5" s="3" t="s">
        <v>94</v>
      </c>
      <c r="B5">
        <v>6508879.0399999991</v>
      </c>
    </row>
    <row r="6" spans="1:12" x14ac:dyDescent="0.3">
      <c r="A6" s="3" t="s">
        <v>107</v>
      </c>
      <c r="B6">
        <v>7334962.9200000009</v>
      </c>
      <c r="L6">
        <f>GETPIVOTDATA("Total Sales (INR)",$L$3)</f>
        <v>75213112.740000069</v>
      </c>
    </row>
    <row r="7" spans="1:12" x14ac:dyDescent="0.3">
      <c r="A7" s="3" t="s">
        <v>49</v>
      </c>
      <c r="B7">
        <v>6706004.9699999979</v>
      </c>
    </row>
    <row r="8" spans="1:12" x14ac:dyDescent="0.3">
      <c r="A8" s="3" t="s">
        <v>78</v>
      </c>
      <c r="B8">
        <v>7637324.9500000011</v>
      </c>
      <c r="L8" t="s">
        <v>1479</v>
      </c>
    </row>
    <row r="9" spans="1:12" x14ac:dyDescent="0.3">
      <c r="A9" s="3" t="s">
        <v>162</v>
      </c>
      <c r="B9">
        <v>5418893.9799999995</v>
      </c>
      <c r="L9">
        <v>17120</v>
      </c>
    </row>
    <row r="10" spans="1:12" x14ac:dyDescent="0.3">
      <c r="A10" s="3" t="s">
        <v>31</v>
      </c>
      <c r="B10">
        <v>6264222.3099999996</v>
      </c>
      <c r="L10">
        <f>GETPIVOTDATA("Discount %",$L$8)</f>
        <v>17120</v>
      </c>
    </row>
    <row r="11" spans="1:12" x14ac:dyDescent="0.3">
      <c r="A11" s="3" t="s">
        <v>74</v>
      </c>
      <c r="B11">
        <v>5702923.370000001</v>
      </c>
    </row>
    <row r="12" spans="1:12" x14ac:dyDescent="0.3">
      <c r="A12" s="3" t="s">
        <v>58</v>
      </c>
      <c r="B12">
        <v>5578535.0799999991</v>
      </c>
      <c r="L12" t="s">
        <v>1480</v>
      </c>
    </row>
    <row r="13" spans="1:12" x14ac:dyDescent="0.3">
      <c r="A13" s="3" t="s">
        <v>42</v>
      </c>
      <c r="B13">
        <v>6491639.9899999993</v>
      </c>
      <c r="L13">
        <v>3011.0999999999981</v>
      </c>
    </row>
    <row r="14" spans="1:12" x14ac:dyDescent="0.3">
      <c r="A14" s="3" t="s">
        <v>1475</v>
      </c>
      <c r="B14">
        <v>64804174.779999994</v>
      </c>
    </row>
    <row r="15" spans="1:12" x14ac:dyDescent="0.3">
      <c r="L15">
        <f>GETPIVOTDATA("Customer Rating",$L$12)</f>
        <v>3011.0999999999981</v>
      </c>
    </row>
    <row r="17" spans="1:13" x14ac:dyDescent="0.3">
      <c r="L17" t="s">
        <v>1477</v>
      </c>
    </row>
    <row r="18" spans="1:13" x14ac:dyDescent="0.3">
      <c r="L18">
        <v>18708577.170000002</v>
      </c>
    </row>
    <row r="19" spans="1:13" x14ac:dyDescent="0.3">
      <c r="A19" s="2" t="s">
        <v>1474</v>
      </c>
      <c r="B19" t="s">
        <v>1476</v>
      </c>
    </row>
    <row r="20" spans="1:13" x14ac:dyDescent="0.3">
      <c r="A20" s="3" t="s">
        <v>45</v>
      </c>
      <c r="B20">
        <v>14680584.049999993</v>
      </c>
      <c r="L20">
        <f>GETPIVOTDATA("Profit (INR)",$L$17)</f>
        <v>18708577.170000002</v>
      </c>
    </row>
    <row r="21" spans="1:13" x14ac:dyDescent="0.3">
      <c r="A21" s="3" t="s">
        <v>25</v>
      </c>
      <c r="B21">
        <v>14785759.65</v>
      </c>
    </row>
    <row r="22" spans="1:13" x14ac:dyDescent="0.3">
      <c r="A22" s="3" t="s">
        <v>37</v>
      </c>
      <c r="B22">
        <v>15114386.860000003</v>
      </c>
      <c r="L22" s="2" t="s">
        <v>1474</v>
      </c>
      <c r="M22" t="s">
        <v>1480</v>
      </c>
    </row>
    <row r="23" spans="1:13" x14ac:dyDescent="0.3">
      <c r="A23" s="3" t="s">
        <v>54</v>
      </c>
      <c r="B23">
        <v>17307173.069999997</v>
      </c>
      <c r="L23" s="3">
        <v>1</v>
      </c>
      <c r="M23">
        <v>14</v>
      </c>
    </row>
    <row r="24" spans="1:13" x14ac:dyDescent="0.3">
      <c r="A24" s="3" t="s">
        <v>62</v>
      </c>
      <c r="B24">
        <v>13325209.109999994</v>
      </c>
      <c r="L24" s="7" t="s">
        <v>327</v>
      </c>
      <c r="M24">
        <v>1</v>
      </c>
    </row>
    <row r="25" spans="1:13" x14ac:dyDescent="0.3">
      <c r="A25" s="3" t="s">
        <v>1475</v>
      </c>
      <c r="B25">
        <v>75213112.739999995</v>
      </c>
      <c r="L25" s="7" t="s">
        <v>27</v>
      </c>
      <c r="M25">
        <v>1</v>
      </c>
    </row>
    <row r="26" spans="1:13" x14ac:dyDescent="0.3">
      <c r="L26" s="7" t="s">
        <v>47</v>
      </c>
      <c r="M26">
        <v>1</v>
      </c>
    </row>
    <row r="27" spans="1:13" x14ac:dyDescent="0.3">
      <c r="L27" s="7" t="s">
        <v>176</v>
      </c>
      <c r="M27">
        <v>2</v>
      </c>
    </row>
    <row r="28" spans="1:13" x14ac:dyDescent="0.3">
      <c r="L28" s="7" t="s">
        <v>86</v>
      </c>
      <c r="M28">
        <v>1</v>
      </c>
    </row>
    <row r="29" spans="1:13" x14ac:dyDescent="0.3">
      <c r="L29" s="7" t="s">
        <v>179</v>
      </c>
      <c r="M29">
        <v>1</v>
      </c>
    </row>
    <row r="30" spans="1:13" x14ac:dyDescent="0.3">
      <c r="L30" s="7" t="s">
        <v>72</v>
      </c>
      <c r="M30">
        <v>1</v>
      </c>
    </row>
    <row r="31" spans="1:13" x14ac:dyDescent="0.3">
      <c r="A31" s="2" t="s">
        <v>1474</v>
      </c>
      <c r="B31" t="s">
        <v>1477</v>
      </c>
      <c r="L31" s="7" t="s">
        <v>235</v>
      </c>
      <c r="M31">
        <v>1</v>
      </c>
    </row>
    <row r="32" spans="1:13" x14ac:dyDescent="0.3">
      <c r="A32" s="3" t="s">
        <v>23</v>
      </c>
      <c r="B32">
        <v>2427214.0699999998</v>
      </c>
      <c r="L32" s="7" t="s">
        <v>188</v>
      </c>
      <c r="M32">
        <v>1</v>
      </c>
    </row>
    <row r="33" spans="1:13" x14ac:dyDescent="0.3">
      <c r="A33" s="3" t="s">
        <v>52</v>
      </c>
      <c r="B33">
        <v>1938834.6399999994</v>
      </c>
      <c r="L33" s="7" t="s">
        <v>77</v>
      </c>
      <c r="M33">
        <v>3</v>
      </c>
    </row>
    <row r="34" spans="1:13" x14ac:dyDescent="0.3">
      <c r="A34" s="3" t="s">
        <v>69</v>
      </c>
      <c r="B34">
        <v>2400323.0700000003</v>
      </c>
      <c r="L34" s="7" t="s">
        <v>271</v>
      </c>
      <c r="M34">
        <v>1</v>
      </c>
    </row>
    <row r="35" spans="1:13" x14ac:dyDescent="0.3">
      <c r="A35" s="3" t="s">
        <v>81</v>
      </c>
      <c r="B35">
        <v>2714417.44</v>
      </c>
      <c r="L35" s="3">
        <v>1.1000000000000001</v>
      </c>
      <c r="M35">
        <v>37.400000000000006</v>
      </c>
    </row>
    <row r="36" spans="1:13" x14ac:dyDescent="0.3">
      <c r="A36" s="3" t="s">
        <v>132</v>
      </c>
      <c r="B36">
        <v>2360200.8799999994</v>
      </c>
      <c r="L36" s="7" t="s">
        <v>121</v>
      </c>
      <c r="M36">
        <v>1.1000000000000001</v>
      </c>
    </row>
    <row r="37" spans="1:13" x14ac:dyDescent="0.3">
      <c r="A37" s="3" t="s">
        <v>98</v>
      </c>
      <c r="B37">
        <v>2304595.3600000008</v>
      </c>
      <c r="L37" s="7" t="s">
        <v>64</v>
      </c>
      <c r="M37">
        <v>3.3000000000000003</v>
      </c>
    </row>
    <row r="38" spans="1:13" x14ac:dyDescent="0.3">
      <c r="A38" s="3" t="s">
        <v>125</v>
      </c>
      <c r="B38">
        <v>2247946.0700000003</v>
      </c>
      <c r="L38" s="7" t="s">
        <v>27</v>
      </c>
      <c r="M38">
        <v>3.3000000000000003</v>
      </c>
    </row>
    <row r="39" spans="1:13" x14ac:dyDescent="0.3">
      <c r="A39" s="3" t="s">
        <v>35</v>
      </c>
      <c r="B39">
        <v>2315045.6400000006</v>
      </c>
      <c r="L39" s="7" t="s">
        <v>221</v>
      </c>
      <c r="M39">
        <v>1.1000000000000001</v>
      </c>
    </row>
    <row r="40" spans="1:13" x14ac:dyDescent="0.3">
      <c r="A40" s="3" t="s">
        <v>1475</v>
      </c>
      <c r="B40">
        <v>18708577.170000002</v>
      </c>
      <c r="L40" s="7" t="s">
        <v>176</v>
      </c>
      <c r="M40">
        <v>3.3000000000000003</v>
      </c>
    </row>
    <row r="41" spans="1:13" x14ac:dyDescent="0.3">
      <c r="L41" s="7" t="s">
        <v>91</v>
      </c>
      <c r="M41">
        <v>2.2000000000000002</v>
      </c>
    </row>
    <row r="42" spans="1:13" x14ac:dyDescent="0.3">
      <c r="L42" s="7" t="s">
        <v>86</v>
      </c>
      <c r="M42">
        <v>1.1000000000000001</v>
      </c>
    </row>
    <row r="43" spans="1:13" x14ac:dyDescent="0.3">
      <c r="L43" s="7" t="s">
        <v>179</v>
      </c>
      <c r="M43">
        <v>2.2000000000000002</v>
      </c>
    </row>
    <row r="44" spans="1:13" x14ac:dyDescent="0.3">
      <c r="L44" s="7" t="s">
        <v>106</v>
      </c>
      <c r="M44">
        <v>4.4000000000000004</v>
      </c>
    </row>
    <row r="45" spans="1:13" x14ac:dyDescent="0.3">
      <c r="L45" s="7" t="s">
        <v>72</v>
      </c>
      <c r="M45">
        <v>1.1000000000000001</v>
      </c>
    </row>
    <row r="46" spans="1:13" x14ac:dyDescent="0.3">
      <c r="A46" s="2" t="s">
        <v>1474</v>
      </c>
      <c r="B46" t="s">
        <v>1476</v>
      </c>
      <c r="L46" s="7" t="s">
        <v>100</v>
      </c>
      <c r="M46">
        <v>2.2000000000000002</v>
      </c>
    </row>
    <row r="47" spans="1:13" x14ac:dyDescent="0.3">
      <c r="A47" s="3" t="s">
        <v>27</v>
      </c>
      <c r="B47">
        <v>4522055.3499999996</v>
      </c>
      <c r="L47" s="7" t="s">
        <v>235</v>
      </c>
      <c r="M47">
        <v>1.1000000000000001</v>
      </c>
    </row>
    <row r="48" spans="1:13" x14ac:dyDescent="0.3">
      <c r="A48" s="3" t="s">
        <v>179</v>
      </c>
      <c r="B48">
        <v>4132783.7199999997</v>
      </c>
      <c r="L48" s="7" t="s">
        <v>188</v>
      </c>
      <c r="M48">
        <v>3.3000000000000003</v>
      </c>
    </row>
    <row r="49" spans="1:13" x14ac:dyDescent="0.3">
      <c r="A49" s="3" t="s">
        <v>83</v>
      </c>
      <c r="B49">
        <v>3986691.68</v>
      </c>
      <c r="L49" s="7" t="s">
        <v>56</v>
      </c>
      <c r="M49">
        <v>2.2000000000000002</v>
      </c>
    </row>
    <row r="50" spans="1:13" x14ac:dyDescent="0.3">
      <c r="A50" s="3" t="s">
        <v>91</v>
      </c>
      <c r="B50">
        <v>3722765.2699999991</v>
      </c>
      <c r="L50" s="7" t="s">
        <v>83</v>
      </c>
      <c r="M50">
        <v>3.3000000000000003</v>
      </c>
    </row>
    <row r="51" spans="1:13" x14ac:dyDescent="0.3">
      <c r="A51" s="3" t="s">
        <v>39</v>
      </c>
      <c r="B51">
        <v>3685259.6</v>
      </c>
      <c r="L51" s="7" t="s">
        <v>140</v>
      </c>
      <c r="M51">
        <v>2.2000000000000002</v>
      </c>
    </row>
    <row r="52" spans="1:13" x14ac:dyDescent="0.3">
      <c r="A52" s="3" t="s">
        <v>56</v>
      </c>
      <c r="B52">
        <v>3680177.8000000007</v>
      </c>
      <c r="L52" s="3">
        <v>1.2</v>
      </c>
      <c r="M52">
        <v>29.999999999999989</v>
      </c>
    </row>
    <row r="53" spans="1:13" x14ac:dyDescent="0.3">
      <c r="A53" s="3" t="s">
        <v>47</v>
      </c>
      <c r="B53">
        <v>3646816.9700000016</v>
      </c>
      <c r="L53" s="7" t="s">
        <v>121</v>
      </c>
      <c r="M53">
        <v>2.4</v>
      </c>
    </row>
    <row r="54" spans="1:13" x14ac:dyDescent="0.3">
      <c r="A54" s="3" t="s">
        <v>100</v>
      </c>
      <c r="B54">
        <v>3266905.7499999991</v>
      </c>
      <c r="L54" s="7" t="s">
        <v>64</v>
      </c>
      <c r="M54">
        <v>1.2</v>
      </c>
    </row>
    <row r="55" spans="1:13" x14ac:dyDescent="0.3">
      <c r="A55" s="3" t="s">
        <v>221</v>
      </c>
      <c r="B55">
        <v>3172999.9099999988</v>
      </c>
      <c r="L55" s="7" t="s">
        <v>27</v>
      </c>
      <c r="M55">
        <v>4.8</v>
      </c>
    </row>
    <row r="56" spans="1:13" x14ac:dyDescent="0.3">
      <c r="A56" s="3" t="s">
        <v>86</v>
      </c>
      <c r="B56">
        <v>3161049.05</v>
      </c>
      <c r="L56" s="7" t="s">
        <v>221</v>
      </c>
      <c r="M56">
        <v>2.4</v>
      </c>
    </row>
    <row r="57" spans="1:13" x14ac:dyDescent="0.3">
      <c r="A57" s="3" t="s">
        <v>1475</v>
      </c>
      <c r="B57">
        <v>36977505.100000001</v>
      </c>
      <c r="L57" s="7" t="s">
        <v>176</v>
      </c>
      <c r="M57">
        <v>1.2</v>
      </c>
    </row>
    <row r="58" spans="1:13" x14ac:dyDescent="0.3">
      <c r="L58" s="7" t="s">
        <v>91</v>
      </c>
      <c r="M58">
        <v>2.4</v>
      </c>
    </row>
    <row r="59" spans="1:13" x14ac:dyDescent="0.3">
      <c r="L59" s="7" t="s">
        <v>39</v>
      </c>
      <c r="M59">
        <v>1.2</v>
      </c>
    </row>
    <row r="60" spans="1:13" x14ac:dyDescent="0.3">
      <c r="L60" s="7" t="s">
        <v>106</v>
      </c>
      <c r="M60">
        <v>1.2</v>
      </c>
    </row>
    <row r="61" spans="1:13" x14ac:dyDescent="0.3">
      <c r="L61" s="7" t="s">
        <v>72</v>
      </c>
      <c r="M61">
        <v>2.4</v>
      </c>
    </row>
    <row r="62" spans="1:13" x14ac:dyDescent="0.3">
      <c r="L62" s="7" t="s">
        <v>100</v>
      </c>
      <c r="M62">
        <v>2.4</v>
      </c>
    </row>
    <row r="63" spans="1:13" x14ac:dyDescent="0.3">
      <c r="A63" s="2" t="s">
        <v>1474</v>
      </c>
      <c r="B63" t="s">
        <v>1478</v>
      </c>
      <c r="L63" s="7" t="s">
        <v>117</v>
      </c>
      <c r="M63">
        <v>2.4</v>
      </c>
    </row>
    <row r="64" spans="1:13" x14ac:dyDescent="0.3">
      <c r="A64" s="3" t="s">
        <v>113</v>
      </c>
      <c r="B64">
        <v>169</v>
      </c>
      <c r="L64" s="7" t="s">
        <v>56</v>
      </c>
      <c r="M64">
        <v>1.2</v>
      </c>
    </row>
    <row r="65" spans="1:13" x14ac:dyDescent="0.3">
      <c r="A65" s="3" t="s">
        <v>122</v>
      </c>
      <c r="B65">
        <v>146</v>
      </c>
      <c r="L65" s="7" t="s">
        <v>271</v>
      </c>
      <c r="M65">
        <v>1.2</v>
      </c>
    </row>
    <row r="66" spans="1:13" x14ac:dyDescent="0.3">
      <c r="A66" s="3" t="s">
        <v>29</v>
      </c>
      <c r="B66">
        <v>171</v>
      </c>
      <c r="L66" s="7" t="s">
        <v>92</v>
      </c>
      <c r="M66">
        <v>2.4</v>
      </c>
    </row>
    <row r="67" spans="1:13" x14ac:dyDescent="0.3">
      <c r="A67" s="3" t="s">
        <v>144</v>
      </c>
      <c r="B67">
        <v>166</v>
      </c>
      <c r="L67" s="7" t="s">
        <v>140</v>
      </c>
      <c r="M67">
        <v>1.2</v>
      </c>
    </row>
    <row r="68" spans="1:13" x14ac:dyDescent="0.3">
      <c r="A68" s="3" t="s">
        <v>41</v>
      </c>
      <c r="B68">
        <v>176</v>
      </c>
      <c r="L68" s="3">
        <v>1.3</v>
      </c>
      <c r="M68">
        <v>22.1</v>
      </c>
    </row>
    <row r="69" spans="1:13" x14ac:dyDescent="0.3">
      <c r="A69" s="3" t="s">
        <v>73</v>
      </c>
      <c r="B69">
        <v>172</v>
      </c>
      <c r="L69" s="7" t="s">
        <v>121</v>
      </c>
      <c r="M69">
        <v>1.3</v>
      </c>
    </row>
    <row r="70" spans="1:13" x14ac:dyDescent="0.3">
      <c r="A70" s="3" t="s">
        <v>1475</v>
      </c>
      <c r="B70">
        <v>1000</v>
      </c>
      <c r="L70" s="7" t="s">
        <v>27</v>
      </c>
      <c r="M70">
        <v>1.3</v>
      </c>
    </row>
    <row r="71" spans="1:13" x14ac:dyDescent="0.3">
      <c r="L71" s="7" t="s">
        <v>221</v>
      </c>
      <c r="M71">
        <v>1.3</v>
      </c>
    </row>
    <row r="72" spans="1:13" x14ac:dyDescent="0.3">
      <c r="L72" s="7" t="s">
        <v>91</v>
      </c>
      <c r="M72">
        <v>2.6</v>
      </c>
    </row>
    <row r="73" spans="1:13" x14ac:dyDescent="0.3">
      <c r="L73" s="7" t="s">
        <v>86</v>
      </c>
      <c r="M73">
        <v>1.3</v>
      </c>
    </row>
    <row r="74" spans="1:13" x14ac:dyDescent="0.3">
      <c r="A74" s="2" t="s">
        <v>1474</v>
      </c>
      <c r="B74" t="s">
        <v>1478</v>
      </c>
      <c r="L74" s="7" t="s">
        <v>106</v>
      </c>
      <c r="M74">
        <v>2.6</v>
      </c>
    </row>
    <row r="75" spans="1:13" x14ac:dyDescent="0.3">
      <c r="A75" s="3" t="s">
        <v>66</v>
      </c>
      <c r="B75">
        <v>29</v>
      </c>
      <c r="L75" s="7" t="s">
        <v>117</v>
      </c>
      <c r="M75">
        <v>2.6</v>
      </c>
    </row>
    <row r="76" spans="1:13" x14ac:dyDescent="0.3">
      <c r="A76" s="3" t="s">
        <v>30</v>
      </c>
      <c r="B76">
        <v>901</v>
      </c>
      <c r="L76" s="7" t="s">
        <v>271</v>
      </c>
      <c r="M76">
        <v>2.6</v>
      </c>
    </row>
    <row r="77" spans="1:13" x14ac:dyDescent="0.3">
      <c r="A77" s="3" t="s">
        <v>159</v>
      </c>
      <c r="B77">
        <v>70</v>
      </c>
      <c r="L77" s="7" t="s">
        <v>83</v>
      </c>
      <c r="M77">
        <v>3.9000000000000004</v>
      </c>
    </row>
    <row r="78" spans="1:13" x14ac:dyDescent="0.3">
      <c r="A78" s="3" t="s">
        <v>1475</v>
      </c>
      <c r="B78">
        <v>1000</v>
      </c>
      <c r="L78" s="7" t="s">
        <v>92</v>
      </c>
      <c r="M78">
        <v>1.3</v>
      </c>
    </row>
    <row r="79" spans="1:13" x14ac:dyDescent="0.3">
      <c r="L79" s="7" t="s">
        <v>140</v>
      </c>
      <c r="M79">
        <v>1.3</v>
      </c>
    </row>
    <row r="80" spans="1:13" x14ac:dyDescent="0.3">
      <c r="L80" s="3">
        <v>1.4</v>
      </c>
      <c r="M80">
        <v>30.799999999999997</v>
      </c>
    </row>
    <row r="81" spans="1:13" x14ac:dyDescent="0.3">
      <c r="L81" s="7" t="s">
        <v>327</v>
      </c>
      <c r="M81">
        <v>2.8</v>
      </c>
    </row>
    <row r="82" spans="1:13" x14ac:dyDescent="0.3">
      <c r="L82" s="7" t="s">
        <v>27</v>
      </c>
      <c r="M82">
        <v>1.4</v>
      </c>
    </row>
    <row r="83" spans="1:13" x14ac:dyDescent="0.3">
      <c r="L83" s="7" t="s">
        <v>47</v>
      </c>
      <c r="M83">
        <v>1.4</v>
      </c>
    </row>
    <row r="84" spans="1:13" x14ac:dyDescent="0.3">
      <c r="L84" s="7" t="s">
        <v>221</v>
      </c>
      <c r="M84">
        <v>1.4</v>
      </c>
    </row>
    <row r="85" spans="1:13" x14ac:dyDescent="0.3">
      <c r="L85" s="7" t="s">
        <v>91</v>
      </c>
      <c r="M85">
        <v>1.4</v>
      </c>
    </row>
    <row r="86" spans="1:13" x14ac:dyDescent="0.3">
      <c r="L86" s="7" t="s">
        <v>86</v>
      </c>
      <c r="M86">
        <v>2.8</v>
      </c>
    </row>
    <row r="87" spans="1:13" x14ac:dyDescent="0.3">
      <c r="L87" s="7" t="s">
        <v>39</v>
      </c>
      <c r="M87">
        <v>1.4</v>
      </c>
    </row>
    <row r="88" spans="1:13" x14ac:dyDescent="0.3">
      <c r="L88" s="7" t="s">
        <v>179</v>
      </c>
      <c r="M88">
        <v>1.4</v>
      </c>
    </row>
    <row r="89" spans="1:13" x14ac:dyDescent="0.3">
      <c r="A89" s="2" t="s">
        <v>1474</v>
      </c>
      <c r="B89" t="s">
        <v>1476</v>
      </c>
      <c r="L89" s="7" t="s">
        <v>235</v>
      </c>
      <c r="M89">
        <v>4.1999999999999993</v>
      </c>
    </row>
    <row r="90" spans="1:13" x14ac:dyDescent="0.3">
      <c r="A90" s="3" t="s">
        <v>180</v>
      </c>
      <c r="B90">
        <v>3466895.1800000006</v>
      </c>
      <c r="L90" s="7" t="s">
        <v>188</v>
      </c>
      <c r="M90">
        <v>1.4</v>
      </c>
    </row>
    <row r="91" spans="1:13" x14ac:dyDescent="0.3">
      <c r="A91" s="3" t="s">
        <v>40</v>
      </c>
      <c r="B91">
        <v>15114386.860000003</v>
      </c>
      <c r="L91" s="7" t="s">
        <v>117</v>
      </c>
      <c r="M91">
        <v>1.4</v>
      </c>
    </row>
    <row r="92" spans="1:13" x14ac:dyDescent="0.3">
      <c r="A92" s="3" t="s">
        <v>28</v>
      </c>
      <c r="B92">
        <v>7980361.8900000015</v>
      </c>
      <c r="L92" s="7" t="s">
        <v>56</v>
      </c>
      <c r="M92">
        <v>2.8</v>
      </c>
    </row>
    <row r="93" spans="1:13" x14ac:dyDescent="0.3">
      <c r="A93" s="3" t="s">
        <v>101</v>
      </c>
      <c r="B93">
        <v>5026104.7499999981</v>
      </c>
      <c r="L93" s="7" t="s">
        <v>77</v>
      </c>
      <c r="M93">
        <v>2.8</v>
      </c>
    </row>
    <row r="94" spans="1:13" x14ac:dyDescent="0.3">
      <c r="A94" s="3" t="s">
        <v>48</v>
      </c>
      <c r="B94">
        <v>5103234.28</v>
      </c>
      <c r="L94" s="7" t="s">
        <v>83</v>
      </c>
      <c r="M94">
        <v>1.4</v>
      </c>
    </row>
    <row r="95" spans="1:13" x14ac:dyDescent="0.3">
      <c r="A95" s="3" t="s">
        <v>169</v>
      </c>
      <c r="B95">
        <v>4551245.0199999986</v>
      </c>
      <c r="L95" s="7" t="s">
        <v>92</v>
      </c>
      <c r="M95">
        <v>2.8</v>
      </c>
    </row>
    <row r="96" spans="1:13" x14ac:dyDescent="0.3">
      <c r="A96" s="3" t="s">
        <v>165</v>
      </c>
      <c r="B96">
        <v>4641499.620000002</v>
      </c>
      <c r="L96" s="3">
        <v>1.5</v>
      </c>
      <c r="M96">
        <v>40.5</v>
      </c>
    </row>
    <row r="97" spans="1:13" x14ac:dyDescent="0.3">
      <c r="A97" s="3" t="s">
        <v>112</v>
      </c>
      <c r="B97">
        <v>6805397.7600000016</v>
      </c>
      <c r="L97" s="7" t="s">
        <v>121</v>
      </c>
      <c r="M97">
        <v>1.5</v>
      </c>
    </row>
    <row r="98" spans="1:13" x14ac:dyDescent="0.3">
      <c r="A98" s="3" t="s">
        <v>143</v>
      </c>
      <c r="B98">
        <v>4317760.6000000015</v>
      </c>
      <c r="L98" s="7" t="s">
        <v>129</v>
      </c>
      <c r="M98">
        <v>1.5</v>
      </c>
    </row>
    <row r="99" spans="1:13" x14ac:dyDescent="0.3">
      <c r="A99" s="3" t="s">
        <v>65</v>
      </c>
      <c r="B99">
        <v>4365948.8899999997</v>
      </c>
      <c r="L99" s="7" t="s">
        <v>64</v>
      </c>
      <c r="M99">
        <v>4.5</v>
      </c>
    </row>
    <row r="100" spans="1:13" x14ac:dyDescent="0.3">
      <c r="A100" s="3" t="s">
        <v>1475</v>
      </c>
      <c r="B100">
        <v>61372834.850000001</v>
      </c>
      <c r="L100" s="7" t="s">
        <v>327</v>
      </c>
      <c r="M100">
        <v>4.5</v>
      </c>
    </row>
    <row r="101" spans="1:13" x14ac:dyDescent="0.3">
      <c r="L101" s="7" t="s">
        <v>221</v>
      </c>
      <c r="M101">
        <v>3</v>
      </c>
    </row>
    <row r="102" spans="1:13" x14ac:dyDescent="0.3">
      <c r="L102" s="7" t="s">
        <v>91</v>
      </c>
      <c r="M102">
        <v>1.5</v>
      </c>
    </row>
    <row r="103" spans="1:13" x14ac:dyDescent="0.3">
      <c r="L103" s="7" t="s">
        <v>86</v>
      </c>
      <c r="M103">
        <v>1.5</v>
      </c>
    </row>
    <row r="104" spans="1:13" x14ac:dyDescent="0.3">
      <c r="L104" s="7" t="s">
        <v>179</v>
      </c>
      <c r="M104">
        <v>3</v>
      </c>
    </row>
    <row r="105" spans="1:13" x14ac:dyDescent="0.3">
      <c r="A105" s="2" t="s">
        <v>1474</v>
      </c>
      <c r="B105" t="s">
        <v>1478</v>
      </c>
      <c r="L105" s="7" t="s">
        <v>72</v>
      </c>
      <c r="M105">
        <v>3</v>
      </c>
    </row>
    <row r="106" spans="1:13" x14ac:dyDescent="0.3">
      <c r="A106" s="3" t="s">
        <v>94</v>
      </c>
      <c r="B106">
        <v>84</v>
      </c>
      <c r="L106" s="7" t="s">
        <v>100</v>
      </c>
      <c r="M106">
        <v>3</v>
      </c>
    </row>
    <row r="107" spans="1:13" x14ac:dyDescent="0.3">
      <c r="A107" s="3" t="s">
        <v>107</v>
      </c>
      <c r="B107">
        <v>79</v>
      </c>
      <c r="L107" s="7" t="s">
        <v>235</v>
      </c>
      <c r="M107">
        <v>3</v>
      </c>
    </row>
    <row r="108" spans="1:13" x14ac:dyDescent="0.3">
      <c r="A108" s="3" t="s">
        <v>49</v>
      </c>
      <c r="B108">
        <v>93</v>
      </c>
      <c r="L108" s="7" t="s">
        <v>77</v>
      </c>
      <c r="M108">
        <v>3</v>
      </c>
    </row>
    <row r="109" spans="1:13" x14ac:dyDescent="0.3">
      <c r="A109" s="3" t="s">
        <v>119</v>
      </c>
      <c r="B109">
        <v>83</v>
      </c>
      <c r="L109" s="7" t="s">
        <v>92</v>
      </c>
      <c r="M109">
        <v>4.5</v>
      </c>
    </row>
    <row r="110" spans="1:13" x14ac:dyDescent="0.3">
      <c r="A110" s="3" t="s">
        <v>78</v>
      </c>
      <c r="B110">
        <v>97</v>
      </c>
      <c r="L110" s="7" t="s">
        <v>140</v>
      </c>
      <c r="M110">
        <v>3</v>
      </c>
    </row>
    <row r="111" spans="1:13" x14ac:dyDescent="0.3">
      <c r="A111" s="3" t="s">
        <v>162</v>
      </c>
      <c r="B111">
        <v>86</v>
      </c>
      <c r="L111" s="3">
        <v>1.6</v>
      </c>
      <c r="M111">
        <v>41.600000000000016</v>
      </c>
    </row>
    <row r="112" spans="1:13" x14ac:dyDescent="0.3">
      <c r="A112" s="3" t="s">
        <v>31</v>
      </c>
      <c r="B112">
        <v>88</v>
      </c>
      <c r="L112" s="7" t="s">
        <v>121</v>
      </c>
      <c r="M112">
        <v>1.6</v>
      </c>
    </row>
    <row r="113" spans="1:13" x14ac:dyDescent="0.3">
      <c r="A113" s="3" t="s">
        <v>74</v>
      </c>
      <c r="B113">
        <v>79</v>
      </c>
      <c r="L113" s="7" t="s">
        <v>27</v>
      </c>
      <c r="M113">
        <v>6.4</v>
      </c>
    </row>
    <row r="114" spans="1:13" x14ac:dyDescent="0.3">
      <c r="A114" s="3" t="s">
        <v>58</v>
      </c>
      <c r="B114">
        <v>80</v>
      </c>
      <c r="L114" s="7" t="s">
        <v>47</v>
      </c>
      <c r="M114">
        <v>4.8000000000000007</v>
      </c>
    </row>
    <row r="115" spans="1:13" x14ac:dyDescent="0.3">
      <c r="A115" s="3" t="s">
        <v>42</v>
      </c>
      <c r="B115">
        <v>81</v>
      </c>
      <c r="L115" s="7" t="s">
        <v>221</v>
      </c>
      <c r="M115">
        <v>3.2</v>
      </c>
    </row>
    <row r="116" spans="1:13" x14ac:dyDescent="0.3">
      <c r="A116" s="3" t="s">
        <v>1475</v>
      </c>
      <c r="B116">
        <v>850</v>
      </c>
      <c r="L116" s="7" t="s">
        <v>176</v>
      </c>
      <c r="M116">
        <v>1.6</v>
      </c>
    </row>
    <row r="117" spans="1:13" x14ac:dyDescent="0.3">
      <c r="L117" s="7" t="s">
        <v>91</v>
      </c>
      <c r="M117">
        <v>1.6</v>
      </c>
    </row>
    <row r="118" spans="1:13" x14ac:dyDescent="0.3">
      <c r="L118" s="7" t="s">
        <v>39</v>
      </c>
      <c r="M118">
        <v>1.6</v>
      </c>
    </row>
    <row r="119" spans="1:13" x14ac:dyDescent="0.3">
      <c r="L119" s="7" t="s">
        <v>106</v>
      </c>
      <c r="M119">
        <v>3.2</v>
      </c>
    </row>
    <row r="120" spans="1:13" x14ac:dyDescent="0.3">
      <c r="L120" s="7" t="s">
        <v>72</v>
      </c>
      <c r="M120">
        <v>1.6</v>
      </c>
    </row>
    <row r="121" spans="1:13" x14ac:dyDescent="0.3">
      <c r="L121" s="7" t="s">
        <v>235</v>
      </c>
      <c r="M121">
        <v>1.6</v>
      </c>
    </row>
    <row r="122" spans="1:13" x14ac:dyDescent="0.3">
      <c r="L122" s="7" t="s">
        <v>117</v>
      </c>
      <c r="M122">
        <v>1.6</v>
      </c>
    </row>
    <row r="123" spans="1:13" x14ac:dyDescent="0.3">
      <c r="L123" s="7" t="s">
        <v>56</v>
      </c>
      <c r="M123">
        <v>3.2</v>
      </c>
    </row>
    <row r="124" spans="1:13" x14ac:dyDescent="0.3">
      <c r="L124" s="7" t="s">
        <v>77</v>
      </c>
      <c r="M124">
        <v>3.2</v>
      </c>
    </row>
    <row r="125" spans="1:13" x14ac:dyDescent="0.3">
      <c r="L125" s="7" t="s">
        <v>271</v>
      </c>
      <c r="M125">
        <v>3.2</v>
      </c>
    </row>
    <row r="126" spans="1:13" x14ac:dyDescent="0.3">
      <c r="L126" s="7" t="s">
        <v>83</v>
      </c>
      <c r="M126">
        <v>1.6</v>
      </c>
    </row>
    <row r="127" spans="1:13" x14ac:dyDescent="0.3">
      <c r="L127" s="7" t="s">
        <v>140</v>
      </c>
      <c r="M127">
        <v>1.6</v>
      </c>
    </row>
    <row r="128" spans="1:13" x14ac:dyDescent="0.3">
      <c r="L128" s="3">
        <v>1.7</v>
      </c>
      <c r="M128">
        <v>28.899999999999995</v>
      </c>
    </row>
    <row r="129" spans="12:13" x14ac:dyDescent="0.3">
      <c r="L129" s="7" t="s">
        <v>152</v>
      </c>
      <c r="M129">
        <v>1.7</v>
      </c>
    </row>
    <row r="130" spans="12:13" x14ac:dyDescent="0.3">
      <c r="L130" s="7" t="s">
        <v>129</v>
      </c>
      <c r="M130">
        <v>1.7</v>
      </c>
    </row>
    <row r="131" spans="12:13" x14ac:dyDescent="0.3">
      <c r="L131" s="7" t="s">
        <v>27</v>
      </c>
      <c r="M131">
        <v>1.7</v>
      </c>
    </row>
    <row r="132" spans="12:13" x14ac:dyDescent="0.3">
      <c r="L132" s="7" t="s">
        <v>47</v>
      </c>
      <c r="M132">
        <v>3.4</v>
      </c>
    </row>
    <row r="133" spans="12:13" x14ac:dyDescent="0.3">
      <c r="L133" s="7" t="s">
        <v>221</v>
      </c>
      <c r="M133">
        <v>1.7</v>
      </c>
    </row>
    <row r="134" spans="12:13" x14ac:dyDescent="0.3">
      <c r="L134" s="7" t="s">
        <v>176</v>
      </c>
      <c r="M134">
        <v>1.7</v>
      </c>
    </row>
    <row r="135" spans="12:13" x14ac:dyDescent="0.3">
      <c r="L135" s="7" t="s">
        <v>39</v>
      </c>
      <c r="M135">
        <v>1.7</v>
      </c>
    </row>
    <row r="136" spans="12:13" x14ac:dyDescent="0.3">
      <c r="L136" s="7" t="s">
        <v>179</v>
      </c>
      <c r="M136">
        <v>3.4</v>
      </c>
    </row>
    <row r="137" spans="12:13" x14ac:dyDescent="0.3">
      <c r="L137" s="7" t="s">
        <v>72</v>
      </c>
      <c r="M137">
        <v>1.7</v>
      </c>
    </row>
    <row r="138" spans="12:13" x14ac:dyDescent="0.3">
      <c r="L138" s="7" t="s">
        <v>235</v>
      </c>
      <c r="M138">
        <v>1.7</v>
      </c>
    </row>
    <row r="139" spans="12:13" x14ac:dyDescent="0.3">
      <c r="L139" s="7" t="s">
        <v>188</v>
      </c>
      <c r="M139">
        <v>1.7</v>
      </c>
    </row>
    <row r="140" spans="12:13" x14ac:dyDescent="0.3">
      <c r="L140" s="7" t="s">
        <v>83</v>
      </c>
      <c r="M140">
        <v>5.0999999999999996</v>
      </c>
    </row>
    <row r="141" spans="12:13" x14ac:dyDescent="0.3">
      <c r="L141" s="7" t="s">
        <v>92</v>
      </c>
      <c r="M141">
        <v>1.7</v>
      </c>
    </row>
    <row r="142" spans="12:13" x14ac:dyDescent="0.3">
      <c r="L142" s="3">
        <v>1.8</v>
      </c>
      <c r="M142">
        <v>46.79999999999999</v>
      </c>
    </row>
    <row r="143" spans="12:13" x14ac:dyDescent="0.3">
      <c r="L143" s="7" t="s">
        <v>129</v>
      </c>
      <c r="M143">
        <v>1.8</v>
      </c>
    </row>
    <row r="144" spans="12:13" x14ac:dyDescent="0.3">
      <c r="L144" s="7" t="s">
        <v>64</v>
      </c>
      <c r="M144">
        <v>3.6</v>
      </c>
    </row>
    <row r="145" spans="12:13" x14ac:dyDescent="0.3">
      <c r="L145" s="7" t="s">
        <v>327</v>
      </c>
      <c r="M145">
        <v>3.6</v>
      </c>
    </row>
    <row r="146" spans="12:13" x14ac:dyDescent="0.3">
      <c r="L146" s="7" t="s">
        <v>27</v>
      </c>
      <c r="M146">
        <v>1.8</v>
      </c>
    </row>
    <row r="147" spans="12:13" x14ac:dyDescent="0.3">
      <c r="L147" s="7" t="s">
        <v>47</v>
      </c>
      <c r="M147">
        <v>3.6</v>
      </c>
    </row>
    <row r="148" spans="12:13" x14ac:dyDescent="0.3">
      <c r="L148" s="7" t="s">
        <v>176</v>
      </c>
      <c r="M148">
        <v>3.6</v>
      </c>
    </row>
    <row r="149" spans="12:13" x14ac:dyDescent="0.3">
      <c r="L149" s="7" t="s">
        <v>91</v>
      </c>
      <c r="M149">
        <v>1.8</v>
      </c>
    </row>
    <row r="150" spans="12:13" x14ac:dyDescent="0.3">
      <c r="L150" s="7" t="s">
        <v>86</v>
      </c>
      <c r="M150">
        <v>1.8</v>
      </c>
    </row>
    <row r="151" spans="12:13" x14ac:dyDescent="0.3">
      <c r="L151" s="7" t="s">
        <v>39</v>
      </c>
      <c r="M151">
        <v>5.4</v>
      </c>
    </row>
    <row r="152" spans="12:13" x14ac:dyDescent="0.3">
      <c r="L152" s="7" t="s">
        <v>179</v>
      </c>
      <c r="M152">
        <v>3.6</v>
      </c>
    </row>
    <row r="153" spans="12:13" x14ac:dyDescent="0.3">
      <c r="L153" s="7" t="s">
        <v>100</v>
      </c>
      <c r="M153">
        <v>1.8</v>
      </c>
    </row>
    <row r="154" spans="12:13" x14ac:dyDescent="0.3">
      <c r="L154" s="7" t="s">
        <v>188</v>
      </c>
      <c r="M154">
        <v>3.6</v>
      </c>
    </row>
    <row r="155" spans="12:13" x14ac:dyDescent="0.3">
      <c r="L155" s="7" t="s">
        <v>117</v>
      </c>
      <c r="M155">
        <v>1.8</v>
      </c>
    </row>
    <row r="156" spans="12:13" x14ac:dyDescent="0.3">
      <c r="L156" s="7" t="s">
        <v>56</v>
      </c>
      <c r="M156">
        <v>1.8</v>
      </c>
    </row>
    <row r="157" spans="12:13" x14ac:dyDescent="0.3">
      <c r="L157" s="7" t="s">
        <v>83</v>
      </c>
      <c r="M157">
        <v>3.6</v>
      </c>
    </row>
    <row r="158" spans="12:13" x14ac:dyDescent="0.3">
      <c r="L158" s="7" t="s">
        <v>92</v>
      </c>
      <c r="M158">
        <v>1.8</v>
      </c>
    </row>
    <row r="159" spans="12:13" x14ac:dyDescent="0.3">
      <c r="L159" s="7" t="s">
        <v>140</v>
      </c>
      <c r="M159">
        <v>1.8</v>
      </c>
    </row>
    <row r="160" spans="12:13" x14ac:dyDescent="0.3">
      <c r="L160" s="3">
        <v>1.9</v>
      </c>
      <c r="M160">
        <v>56.999999999999986</v>
      </c>
    </row>
    <row r="161" spans="12:13" x14ac:dyDescent="0.3">
      <c r="L161" s="7" t="s">
        <v>129</v>
      </c>
      <c r="M161">
        <v>1.9</v>
      </c>
    </row>
    <row r="162" spans="12:13" x14ac:dyDescent="0.3">
      <c r="L162" s="7" t="s">
        <v>64</v>
      </c>
      <c r="M162">
        <v>1.9</v>
      </c>
    </row>
    <row r="163" spans="12:13" x14ac:dyDescent="0.3">
      <c r="L163" s="7" t="s">
        <v>327</v>
      </c>
      <c r="M163">
        <v>1.9</v>
      </c>
    </row>
    <row r="164" spans="12:13" x14ac:dyDescent="0.3">
      <c r="L164" s="7" t="s">
        <v>27</v>
      </c>
      <c r="M164">
        <v>1.9</v>
      </c>
    </row>
    <row r="165" spans="12:13" x14ac:dyDescent="0.3">
      <c r="L165" s="7" t="s">
        <v>221</v>
      </c>
      <c r="M165">
        <v>1.9</v>
      </c>
    </row>
    <row r="166" spans="12:13" x14ac:dyDescent="0.3">
      <c r="L166" s="7" t="s">
        <v>176</v>
      </c>
      <c r="M166">
        <v>3.8</v>
      </c>
    </row>
    <row r="167" spans="12:13" x14ac:dyDescent="0.3">
      <c r="L167" s="7" t="s">
        <v>86</v>
      </c>
      <c r="M167">
        <v>3.8</v>
      </c>
    </row>
    <row r="168" spans="12:13" x14ac:dyDescent="0.3">
      <c r="L168" s="7" t="s">
        <v>39</v>
      </c>
      <c r="M168">
        <v>3.8</v>
      </c>
    </row>
    <row r="169" spans="12:13" x14ac:dyDescent="0.3">
      <c r="L169" s="7" t="s">
        <v>179</v>
      </c>
      <c r="M169">
        <v>5.6999999999999993</v>
      </c>
    </row>
    <row r="170" spans="12:13" x14ac:dyDescent="0.3">
      <c r="L170" s="7" t="s">
        <v>106</v>
      </c>
      <c r="M170">
        <v>7.6</v>
      </c>
    </row>
    <row r="171" spans="12:13" x14ac:dyDescent="0.3">
      <c r="L171" s="7" t="s">
        <v>72</v>
      </c>
      <c r="M171">
        <v>1.9</v>
      </c>
    </row>
    <row r="172" spans="12:13" x14ac:dyDescent="0.3">
      <c r="L172" s="7" t="s">
        <v>100</v>
      </c>
      <c r="M172">
        <v>1.9</v>
      </c>
    </row>
    <row r="173" spans="12:13" x14ac:dyDescent="0.3">
      <c r="L173" s="7" t="s">
        <v>188</v>
      </c>
      <c r="M173">
        <v>1.9</v>
      </c>
    </row>
    <row r="174" spans="12:13" x14ac:dyDescent="0.3">
      <c r="L174" s="7" t="s">
        <v>117</v>
      </c>
      <c r="M174">
        <v>1.9</v>
      </c>
    </row>
    <row r="175" spans="12:13" x14ac:dyDescent="0.3">
      <c r="L175" s="7" t="s">
        <v>56</v>
      </c>
      <c r="M175">
        <v>1.9</v>
      </c>
    </row>
    <row r="176" spans="12:13" x14ac:dyDescent="0.3">
      <c r="L176" s="7" t="s">
        <v>77</v>
      </c>
      <c r="M176">
        <v>5.6999999999999993</v>
      </c>
    </row>
    <row r="177" spans="12:13" x14ac:dyDescent="0.3">
      <c r="L177" s="7" t="s">
        <v>271</v>
      </c>
      <c r="M177">
        <v>1.9</v>
      </c>
    </row>
    <row r="178" spans="12:13" x14ac:dyDescent="0.3">
      <c r="L178" s="7" t="s">
        <v>83</v>
      </c>
      <c r="M178">
        <v>1.9</v>
      </c>
    </row>
    <row r="179" spans="12:13" x14ac:dyDescent="0.3">
      <c r="L179" s="7" t="s">
        <v>92</v>
      </c>
      <c r="M179">
        <v>1.9</v>
      </c>
    </row>
    <row r="180" spans="12:13" x14ac:dyDescent="0.3">
      <c r="L180" s="7" t="s">
        <v>140</v>
      </c>
      <c r="M180">
        <v>1.9</v>
      </c>
    </row>
    <row r="181" spans="12:13" x14ac:dyDescent="0.3">
      <c r="L181" s="3">
        <v>2</v>
      </c>
      <c r="M181">
        <v>62</v>
      </c>
    </row>
    <row r="182" spans="12:13" x14ac:dyDescent="0.3">
      <c r="L182" s="7" t="s">
        <v>129</v>
      </c>
      <c r="M182">
        <v>6</v>
      </c>
    </row>
    <row r="183" spans="12:13" x14ac:dyDescent="0.3">
      <c r="L183" s="7" t="s">
        <v>27</v>
      </c>
      <c r="M183">
        <v>6</v>
      </c>
    </row>
    <row r="184" spans="12:13" x14ac:dyDescent="0.3">
      <c r="L184" s="7" t="s">
        <v>47</v>
      </c>
      <c r="M184">
        <v>4</v>
      </c>
    </row>
    <row r="185" spans="12:13" x14ac:dyDescent="0.3">
      <c r="L185" s="7" t="s">
        <v>176</v>
      </c>
      <c r="M185">
        <v>2</v>
      </c>
    </row>
    <row r="186" spans="12:13" x14ac:dyDescent="0.3">
      <c r="L186" s="7" t="s">
        <v>91</v>
      </c>
      <c r="M186">
        <v>2</v>
      </c>
    </row>
    <row r="187" spans="12:13" x14ac:dyDescent="0.3">
      <c r="L187" s="7" t="s">
        <v>86</v>
      </c>
      <c r="M187">
        <v>2</v>
      </c>
    </row>
    <row r="188" spans="12:13" x14ac:dyDescent="0.3">
      <c r="L188" s="7" t="s">
        <v>179</v>
      </c>
      <c r="M188">
        <v>6</v>
      </c>
    </row>
    <row r="189" spans="12:13" x14ac:dyDescent="0.3">
      <c r="L189" s="7" t="s">
        <v>106</v>
      </c>
      <c r="M189">
        <v>2</v>
      </c>
    </row>
    <row r="190" spans="12:13" x14ac:dyDescent="0.3">
      <c r="L190" s="7" t="s">
        <v>72</v>
      </c>
      <c r="M190">
        <v>2</v>
      </c>
    </row>
    <row r="191" spans="12:13" x14ac:dyDescent="0.3">
      <c r="L191" s="7" t="s">
        <v>100</v>
      </c>
      <c r="M191">
        <v>2</v>
      </c>
    </row>
    <row r="192" spans="12:13" x14ac:dyDescent="0.3">
      <c r="L192" s="7" t="s">
        <v>235</v>
      </c>
      <c r="M192">
        <v>6</v>
      </c>
    </row>
    <row r="193" spans="12:13" x14ac:dyDescent="0.3">
      <c r="L193" s="7" t="s">
        <v>188</v>
      </c>
      <c r="M193">
        <v>2</v>
      </c>
    </row>
    <row r="194" spans="12:13" x14ac:dyDescent="0.3">
      <c r="L194" s="7" t="s">
        <v>117</v>
      </c>
      <c r="M194">
        <v>4</v>
      </c>
    </row>
    <row r="195" spans="12:13" x14ac:dyDescent="0.3">
      <c r="L195" s="7" t="s">
        <v>56</v>
      </c>
      <c r="M195">
        <v>8</v>
      </c>
    </row>
    <row r="196" spans="12:13" x14ac:dyDescent="0.3">
      <c r="L196" s="7" t="s">
        <v>77</v>
      </c>
      <c r="M196">
        <v>2</v>
      </c>
    </row>
    <row r="197" spans="12:13" x14ac:dyDescent="0.3">
      <c r="L197" s="7" t="s">
        <v>271</v>
      </c>
      <c r="M197">
        <v>6</v>
      </c>
    </row>
    <row r="198" spans="12:13" x14ac:dyDescent="0.3">
      <c r="L198" s="3">
        <v>2.1</v>
      </c>
      <c r="M198">
        <v>42.000000000000007</v>
      </c>
    </row>
    <row r="199" spans="12:13" x14ac:dyDescent="0.3">
      <c r="L199" s="7" t="s">
        <v>121</v>
      </c>
      <c r="M199">
        <v>2.1</v>
      </c>
    </row>
    <row r="200" spans="12:13" x14ac:dyDescent="0.3">
      <c r="L200" s="7" t="s">
        <v>221</v>
      </c>
      <c r="M200">
        <v>4.2</v>
      </c>
    </row>
    <row r="201" spans="12:13" x14ac:dyDescent="0.3">
      <c r="L201" s="7" t="s">
        <v>86</v>
      </c>
      <c r="M201">
        <v>8.4</v>
      </c>
    </row>
    <row r="202" spans="12:13" x14ac:dyDescent="0.3">
      <c r="L202" s="7" t="s">
        <v>39</v>
      </c>
      <c r="M202">
        <v>4.2</v>
      </c>
    </row>
    <row r="203" spans="12:13" x14ac:dyDescent="0.3">
      <c r="L203" s="7" t="s">
        <v>179</v>
      </c>
      <c r="M203">
        <v>4.2</v>
      </c>
    </row>
    <row r="204" spans="12:13" x14ac:dyDescent="0.3">
      <c r="L204" s="7" t="s">
        <v>106</v>
      </c>
      <c r="M204">
        <v>4.2</v>
      </c>
    </row>
    <row r="205" spans="12:13" x14ac:dyDescent="0.3">
      <c r="L205" s="7" t="s">
        <v>72</v>
      </c>
      <c r="M205">
        <v>6.3000000000000007</v>
      </c>
    </row>
    <row r="206" spans="12:13" x14ac:dyDescent="0.3">
      <c r="L206" s="7" t="s">
        <v>235</v>
      </c>
      <c r="M206">
        <v>2.1</v>
      </c>
    </row>
    <row r="207" spans="12:13" x14ac:dyDescent="0.3">
      <c r="L207" s="7" t="s">
        <v>56</v>
      </c>
      <c r="M207">
        <v>2.1</v>
      </c>
    </row>
    <row r="208" spans="12:13" x14ac:dyDescent="0.3">
      <c r="L208" s="7" t="s">
        <v>77</v>
      </c>
      <c r="M208">
        <v>2.1</v>
      </c>
    </row>
    <row r="209" spans="12:13" x14ac:dyDescent="0.3">
      <c r="L209" s="7" t="s">
        <v>140</v>
      </c>
      <c r="M209">
        <v>2.1</v>
      </c>
    </row>
    <row r="210" spans="12:13" x14ac:dyDescent="0.3">
      <c r="L210" s="3">
        <v>2.2000000000000002</v>
      </c>
      <c r="M210">
        <v>33</v>
      </c>
    </row>
    <row r="211" spans="12:13" x14ac:dyDescent="0.3">
      <c r="L211" s="7" t="s">
        <v>121</v>
      </c>
      <c r="M211">
        <v>4.4000000000000004</v>
      </c>
    </row>
    <row r="212" spans="12:13" x14ac:dyDescent="0.3">
      <c r="L212" s="7" t="s">
        <v>64</v>
      </c>
      <c r="M212">
        <v>2.2000000000000002</v>
      </c>
    </row>
    <row r="213" spans="12:13" x14ac:dyDescent="0.3">
      <c r="L213" s="7" t="s">
        <v>91</v>
      </c>
      <c r="M213">
        <v>2.2000000000000002</v>
      </c>
    </row>
    <row r="214" spans="12:13" x14ac:dyDescent="0.3">
      <c r="L214" s="7" t="s">
        <v>39</v>
      </c>
      <c r="M214">
        <v>4.4000000000000004</v>
      </c>
    </row>
    <row r="215" spans="12:13" x14ac:dyDescent="0.3">
      <c r="L215" s="7" t="s">
        <v>179</v>
      </c>
      <c r="M215">
        <v>2.2000000000000002</v>
      </c>
    </row>
    <row r="216" spans="12:13" x14ac:dyDescent="0.3">
      <c r="L216" s="7" t="s">
        <v>106</v>
      </c>
      <c r="M216">
        <v>4.4000000000000004</v>
      </c>
    </row>
    <row r="217" spans="12:13" x14ac:dyDescent="0.3">
      <c r="L217" s="7" t="s">
        <v>72</v>
      </c>
      <c r="M217">
        <v>2.2000000000000002</v>
      </c>
    </row>
    <row r="218" spans="12:13" x14ac:dyDescent="0.3">
      <c r="L218" s="7" t="s">
        <v>188</v>
      </c>
      <c r="M218">
        <v>2.2000000000000002</v>
      </c>
    </row>
    <row r="219" spans="12:13" x14ac:dyDescent="0.3">
      <c r="L219" s="7" t="s">
        <v>117</v>
      </c>
      <c r="M219">
        <v>4.4000000000000004</v>
      </c>
    </row>
    <row r="220" spans="12:13" x14ac:dyDescent="0.3">
      <c r="L220" s="7" t="s">
        <v>77</v>
      </c>
      <c r="M220">
        <v>2.2000000000000002</v>
      </c>
    </row>
    <row r="221" spans="12:13" x14ac:dyDescent="0.3">
      <c r="L221" s="7" t="s">
        <v>271</v>
      </c>
      <c r="M221">
        <v>2.2000000000000002</v>
      </c>
    </row>
    <row r="222" spans="12:13" x14ac:dyDescent="0.3">
      <c r="L222" s="3">
        <v>2.2999999999999998</v>
      </c>
      <c r="M222">
        <v>48.3</v>
      </c>
    </row>
    <row r="223" spans="12:13" x14ac:dyDescent="0.3">
      <c r="L223" s="7" t="s">
        <v>121</v>
      </c>
      <c r="M223">
        <v>2.2999999999999998</v>
      </c>
    </row>
    <row r="224" spans="12:13" x14ac:dyDescent="0.3">
      <c r="L224" s="7" t="s">
        <v>129</v>
      </c>
      <c r="M224">
        <v>2.2999999999999998</v>
      </c>
    </row>
    <row r="225" spans="12:13" x14ac:dyDescent="0.3">
      <c r="L225" s="7" t="s">
        <v>221</v>
      </c>
      <c r="M225">
        <v>2.2999999999999998</v>
      </c>
    </row>
    <row r="226" spans="12:13" x14ac:dyDescent="0.3">
      <c r="L226" s="7" t="s">
        <v>176</v>
      </c>
      <c r="M226">
        <v>4.5999999999999996</v>
      </c>
    </row>
    <row r="227" spans="12:13" x14ac:dyDescent="0.3">
      <c r="L227" s="7" t="s">
        <v>91</v>
      </c>
      <c r="M227">
        <v>4.5999999999999996</v>
      </c>
    </row>
    <row r="228" spans="12:13" x14ac:dyDescent="0.3">
      <c r="L228" s="7" t="s">
        <v>179</v>
      </c>
      <c r="M228">
        <v>6.8999999999999995</v>
      </c>
    </row>
    <row r="229" spans="12:13" x14ac:dyDescent="0.3">
      <c r="L229" s="7" t="s">
        <v>72</v>
      </c>
      <c r="M229">
        <v>4.5999999999999996</v>
      </c>
    </row>
    <row r="230" spans="12:13" x14ac:dyDescent="0.3">
      <c r="L230" s="7" t="s">
        <v>100</v>
      </c>
      <c r="M230">
        <v>2.2999999999999998</v>
      </c>
    </row>
    <row r="231" spans="12:13" x14ac:dyDescent="0.3">
      <c r="L231" s="7" t="s">
        <v>188</v>
      </c>
      <c r="M231">
        <v>2.2999999999999998</v>
      </c>
    </row>
    <row r="232" spans="12:13" x14ac:dyDescent="0.3">
      <c r="L232" s="7" t="s">
        <v>56</v>
      </c>
      <c r="M232">
        <v>2.2999999999999998</v>
      </c>
    </row>
    <row r="233" spans="12:13" x14ac:dyDescent="0.3">
      <c r="L233" s="7" t="s">
        <v>271</v>
      </c>
      <c r="M233">
        <v>6.8999999999999995</v>
      </c>
    </row>
    <row r="234" spans="12:13" x14ac:dyDescent="0.3">
      <c r="L234" s="7" t="s">
        <v>83</v>
      </c>
      <c r="M234">
        <v>2.2999999999999998</v>
      </c>
    </row>
    <row r="235" spans="12:13" x14ac:dyDescent="0.3">
      <c r="L235" s="7" t="s">
        <v>140</v>
      </c>
      <c r="M235">
        <v>4.5999999999999996</v>
      </c>
    </row>
    <row r="236" spans="12:13" x14ac:dyDescent="0.3">
      <c r="L236" s="3">
        <v>2.4</v>
      </c>
      <c r="M236">
        <v>52.79999999999999</v>
      </c>
    </row>
    <row r="237" spans="12:13" x14ac:dyDescent="0.3">
      <c r="L237" s="7" t="s">
        <v>152</v>
      </c>
      <c r="M237">
        <v>4.8</v>
      </c>
    </row>
    <row r="238" spans="12:13" x14ac:dyDescent="0.3">
      <c r="L238" s="7" t="s">
        <v>129</v>
      </c>
      <c r="M238">
        <v>2.4</v>
      </c>
    </row>
    <row r="239" spans="12:13" x14ac:dyDescent="0.3">
      <c r="L239" s="7" t="s">
        <v>64</v>
      </c>
      <c r="M239">
        <v>2.4</v>
      </c>
    </row>
    <row r="240" spans="12:13" x14ac:dyDescent="0.3">
      <c r="L240" s="7" t="s">
        <v>27</v>
      </c>
      <c r="M240">
        <v>2.4</v>
      </c>
    </row>
    <row r="241" spans="12:13" x14ac:dyDescent="0.3">
      <c r="L241" s="7" t="s">
        <v>47</v>
      </c>
      <c r="M241">
        <v>2.4</v>
      </c>
    </row>
    <row r="242" spans="12:13" x14ac:dyDescent="0.3">
      <c r="L242" s="7" t="s">
        <v>176</v>
      </c>
      <c r="M242">
        <v>2.4</v>
      </c>
    </row>
    <row r="243" spans="12:13" x14ac:dyDescent="0.3">
      <c r="L243" s="7" t="s">
        <v>91</v>
      </c>
      <c r="M243">
        <v>9.6</v>
      </c>
    </row>
    <row r="244" spans="12:13" x14ac:dyDescent="0.3">
      <c r="L244" s="7" t="s">
        <v>39</v>
      </c>
      <c r="M244">
        <v>4.8</v>
      </c>
    </row>
    <row r="245" spans="12:13" x14ac:dyDescent="0.3">
      <c r="L245" s="7" t="s">
        <v>179</v>
      </c>
      <c r="M245">
        <v>2.4</v>
      </c>
    </row>
    <row r="246" spans="12:13" x14ac:dyDescent="0.3">
      <c r="L246" s="7" t="s">
        <v>100</v>
      </c>
      <c r="M246">
        <v>2.4</v>
      </c>
    </row>
    <row r="247" spans="12:13" x14ac:dyDescent="0.3">
      <c r="L247" s="7" t="s">
        <v>56</v>
      </c>
      <c r="M247">
        <v>4.8</v>
      </c>
    </row>
    <row r="248" spans="12:13" x14ac:dyDescent="0.3">
      <c r="L248" s="7" t="s">
        <v>271</v>
      </c>
      <c r="M248">
        <v>2.4</v>
      </c>
    </row>
    <row r="249" spans="12:13" x14ac:dyDescent="0.3">
      <c r="L249" s="7" t="s">
        <v>83</v>
      </c>
      <c r="M249">
        <v>4.8</v>
      </c>
    </row>
    <row r="250" spans="12:13" x14ac:dyDescent="0.3">
      <c r="L250" s="7" t="s">
        <v>92</v>
      </c>
      <c r="M250">
        <v>2.4</v>
      </c>
    </row>
    <row r="251" spans="12:13" x14ac:dyDescent="0.3">
      <c r="L251" s="7" t="s">
        <v>140</v>
      </c>
      <c r="M251">
        <v>2.4</v>
      </c>
    </row>
    <row r="252" spans="12:13" x14ac:dyDescent="0.3">
      <c r="L252" s="3">
        <v>2.5</v>
      </c>
      <c r="M252">
        <v>70</v>
      </c>
    </row>
    <row r="253" spans="12:13" x14ac:dyDescent="0.3">
      <c r="L253" s="7" t="s">
        <v>152</v>
      </c>
      <c r="M253">
        <v>2.5</v>
      </c>
    </row>
    <row r="254" spans="12:13" x14ac:dyDescent="0.3">
      <c r="L254" s="7" t="s">
        <v>121</v>
      </c>
      <c r="M254">
        <v>2.5</v>
      </c>
    </row>
    <row r="255" spans="12:13" x14ac:dyDescent="0.3">
      <c r="L255" s="7" t="s">
        <v>129</v>
      </c>
      <c r="M255">
        <v>5</v>
      </c>
    </row>
    <row r="256" spans="12:13" x14ac:dyDescent="0.3">
      <c r="L256" s="7" t="s">
        <v>27</v>
      </c>
      <c r="M256">
        <v>5</v>
      </c>
    </row>
    <row r="257" spans="12:13" x14ac:dyDescent="0.3">
      <c r="L257" s="7" t="s">
        <v>47</v>
      </c>
      <c r="M257">
        <v>2.5</v>
      </c>
    </row>
    <row r="258" spans="12:13" x14ac:dyDescent="0.3">
      <c r="L258" s="7" t="s">
        <v>176</v>
      </c>
      <c r="M258">
        <v>2.5</v>
      </c>
    </row>
    <row r="259" spans="12:13" x14ac:dyDescent="0.3">
      <c r="L259" s="7" t="s">
        <v>91</v>
      </c>
      <c r="M259">
        <v>2.5</v>
      </c>
    </row>
    <row r="260" spans="12:13" x14ac:dyDescent="0.3">
      <c r="L260" s="7" t="s">
        <v>39</v>
      </c>
      <c r="M260">
        <v>5</v>
      </c>
    </row>
    <row r="261" spans="12:13" x14ac:dyDescent="0.3">
      <c r="L261" s="7" t="s">
        <v>106</v>
      </c>
      <c r="M261">
        <v>5</v>
      </c>
    </row>
    <row r="262" spans="12:13" x14ac:dyDescent="0.3">
      <c r="L262" s="7" t="s">
        <v>100</v>
      </c>
      <c r="M262">
        <v>5</v>
      </c>
    </row>
    <row r="263" spans="12:13" x14ac:dyDescent="0.3">
      <c r="L263" s="7" t="s">
        <v>235</v>
      </c>
      <c r="M263">
        <v>5</v>
      </c>
    </row>
    <row r="264" spans="12:13" x14ac:dyDescent="0.3">
      <c r="L264" s="7" t="s">
        <v>188</v>
      </c>
      <c r="M264">
        <v>2.5</v>
      </c>
    </row>
    <row r="265" spans="12:13" x14ac:dyDescent="0.3">
      <c r="L265" s="7" t="s">
        <v>117</v>
      </c>
      <c r="M265">
        <v>5</v>
      </c>
    </row>
    <row r="266" spans="12:13" x14ac:dyDescent="0.3">
      <c r="L266" s="7" t="s">
        <v>56</v>
      </c>
      <c r="M266">
        <v>2.5</v>
      </c>
    </row>
    <row r="267" spans="12:13" x14ac:dyDescent="0.3">
      <c r="L267" s="7" t="s">
        <v>77</v>
      </c>
      <c r="M267">
        <v>5</v>
      </c>
    </row>
    <row r="268" spans="12:13" x14ac:dyDescent="0.3">
      <c r="L268" s="7" t="s">
        <v>83</v>
      </c>
      <c r="M268">
        <v>7.5</v>
      </c>
    </row>
    <row r="269" spans="12:13" x14ac:dyDescent="0.3">
      <c r="L269" s="7" t="s">
        <v>92</v>
      </c>
      <c r="M269">
        <v>5</v>
      </c>
    </row>
    <row r="270" spans="12:13" x14ac:dyDescent="0.3">
      <c r="L270" s="3">
        <v>2.6</v>
      </c>
      <c r="M270">
        <v>49.400000000000013</v>
      </c>
    </row>
    <row r="271" spans="12:13" x14ac:dyDescent="0.3">
      <c r="L271" s="7" t="s">
        <v>152</v>
      </c>
      <c r="M271">
        <v>2.6</v>
      </c>
    </row>
    <row r="272" spans="12:13" x14ac:dyDescent="0.3">
      <c r="L272" s="7" t="s">
        <v>129</v>
      </c>
      <c r="M272">
        <v>2.6</v>
      </c>
    </row>
    <row r="273" spans="12:13" x14ac:dyDescent="0.3">
      <c r="L273" s="7" t="s">
        <v>27</v>
      </c>
      <c r="M273">
        <v>2.6</v>
      </c>
    </row>
    <row r="274" spans="12:13" x14ac:dyDescent="0.3">
      <c r="L274" s="7" t="s">
        <v>47</v>
      </c>
      <c r="M274">
        <v>2.6</v>
      </c>
    </row>
    <row r="275" spans="12:13" x14ac:dyDescent="0.3">
      <c r="L275" s="7" t="s">
        <v>221</v>
      </c>
      <c r="M275">
        <v>2.6</v>
      </c>
    </row>
    <row r="276" spans="12:13" x14ac:dyDescent="0.3">
      <c r="L276" s="7" t="s">
        <v>176</v>
      </c>
      <c r="M276">
        <v>2.6</v>
      </c>
    </row>
    <row r="277" spans="12:13" x14ac:dyDescent="0.3">
      <c r="L277" s="7" t="s">
        <v>91</v>
      </c>
      <c r="M277">
        <v>2.6</v>
      </c>
    </row>
    <row r="278" spans="12:13" x14ac:dyDescent="0.3">
      <c r="L278" s="7" t="s">
        <v>86</v>
      </c>
      <c r="M278">
        <v>2.6</v>
      </c>
    </row>
    <row r="279" spans="12:13" x14ac:dyDescent="0.3">
      <c r="L279" s="7" t="s">
        <v>39</v>
      </c>
      <c r="M279">
        <v>2.6</v>
      </c>
    </row>
    <row r="280" spans="12:13" x14ac:dyDescent="0.3">
      <c r="L280" s="7" t="s">
        <v>106</v>
      </c>
      <c r="M280">
        <v>5.2</v>
      </c>
    </row>
    <row r="281" spans="12:13" x14ac:dyDescent="0.3">
      <c r="L281" s="7" t="s">
        <v>72</v>
      </c>
      <c r="M281">
        <v>5.2</v>
      </c>
    </row>
    <row r="282" spans="12:13" x14ac:dyDescent="0.3">
      <c r="L282" s="7" t="s">
        <v>100</v>
      </c>
      <c r="M282">
        <v>2.6</v>
      </c>
    </row>
    <row r="283" spans="12:13" x14ac:dyDescent="0.3">
      <c r="L283" s="7" t="s">
        <v>188</v>
      </c>
      <c r="M283">
        <v>2.6</v>
      </c>
    </row>
    <row r="284" spans="12:13" x14ac:dyDescent="0.3">
      <c r="L284" s="7" t="s">
        <v>117</v>
      </c>
      <c r="M284">
        <v>2.6</v>
      </c>
    </row>
    <row r="285" spans="12:13" x14ac:dyDescent="0.3">
      <c r="L285" s="7" t="s">
        <v>271</v>
      </c>
      <c r="M285">
        <v>2.6</v>
      </c>
    </row>
    <row r="286" spans="12:13" x14ac:dyDescent="0.3">
      <c r="L286" s="7" t="s">
        <v>83</v>
      </c>
      <c r="M286">
        <v>2.6</v>
      </c>
    </row>
    <row r="287" spans="12:13" x14ac:dyDescent="0.3">
      <c r="L287" s="7" t="s">
        <v>92</v>
      </c>
      <c r="M287">
        <v>2.6</v>
      </c>
    </row>
    <row r="288" spans="12:13" x14ac:dyDescent="0.3">
      <c r="L288" s="3">
        <v>2.7</v>
      </c>
      <c r="M288">
        <v>75.600000000000023</v>
      </c>
    </row>
    <row r="289" spans="12:13" x14ac:dyDescent="0.3">
      <c r="L289" s="7" t="s">
        <v>64</v>
      </c>
      <c r="M289">
        <v>2.7</v>
      </c>
    </row>
    <row r="290" spans="12:13" x14ac:dyDescent="0.3">
      <c r="L290" s="7" t="s">
        <v>27</v>
      </c>
      <c r="M290">
        <v>8.1000000000000014</v>
      </c>
    </row>
    <row r="291" spans="12:13" x14ac:dyDescent="0.3">
      <c r="L291" s="7" t="s">
        <v>47</v>
      </c>
      <c r="M291">
        <v>2.7</v>
      </c>
    </row>
    <row r="292" spans="12:13" x14ac:dyDescent="0.3">
      <c r="L292" s="7" t="s">
        <v>176</v>
      </c>
      <c r="M292">
        <v>5.4</v>
      </c>
    </row>
    <row r="293" spans="12:13" x14ac:dyDescent="0.3">
      <c r="L293" s="7" t="s">
        <v>91</v>
      </c>
      <c r="M293">
        <v>5.4</v>
      </c>
    </row>
    <row r="294" spans="12:13" x14ac:dyDescent="0.3">
      <c r="L294" s="7" t="s">
        <v>86</v>
      </c>
      <c r="M294">
        <v>2.7</v>
      </c>
    </row>
    <row r="295" spans="12:13" x14ac:dyDescent="0.3">
      <c r="L295" s="7" t="s">
        <v>39</v>
      </c>
      <c r="M295">
        <v>2.7</v>
      </c>
    </row>
    <row r="296" spans="12:13" x14ac:dyDescent="0.3">
      <c r="L296" s="7" t="s">
        <v>179</v>
      </c>
      <c r="M296">
        <v>2.7</v>
      </c>
    </row>
    <row r="297" spans="12:13" x14ac:dyDescent="0.3">
      <c r="L297" s="7" t="s">
        <v>100</v>
      </c>
      <c r="M297">
        <v>8.1000000000000014</v>
      </c>
    </row>
    <row r="298" spans="12:13" x14ac:dyDescent="0.3">
      <c r="L298" s="7" t="s">
        <v>235</v>
      </c>
      <c r="M298">
        <v>2.7</v>
      </c>
    </row>
    <row r="299" spans="12:13" x14ac:dyDescent="0.3">
      <c r="L299" s="7" t="s">
        <v>188</v>
      </c>
      <c r="M299">
        <v>8.1000000000000014</v>
      </c>
    </row>
    <row r="300" spans="12:13" x14ac:dyDescent="0.3">
      <c r="L300" s="7" t="s">
        <v>117</v>
      </c>
      <c r="M300">
        <v>5.4</v>
      </c>
    </row>
    <row r="301" spans="12:13" x14ac:dyDescent="0.3">
      <c r="L301" s="7" t="s">
        <v>56</v>
      </c>
      <c r="M301">
        <v>2.7</v>
      </c>
    </row>
    <row r="302" spans="12:13" x14ac:dyDescent="0.3">
      <c r="L302" s="7" t="s">
        <v>271</v>
      </c>
      <c r="M302">
        <v>2.7</v>
      </c>
    </row>
    <row r="303" spans="12:13" x14ac:dyDescent="0.3">
      <c r="L303" s="7" t="s">
        <v>83</v>
      </c>
      <c r="M303">
        <v>5.4</v>
      </c>
    </row>
    <row r="304" spans="12:13" x14ac:dyDescent="0.3">
      <c r="L304" s="7" t="s">
        <v>92</v>
      </c>
      <c r="M304">
        <v>5.4</v>
      </c>
    </row>
    <row r="305" spans="12:13" x14ac:dyDescent="0.3">
      <c r="L305" s="7" t="s">
        <v>140</v>
      </c>
      <c r="M305">
        <v>2.7</v>
      </c>
    </row>
    <row r="306" spans="12:13" x14ac:dyDescent="0.3">
      <c r="L306" s="3">
        <v>2.8</v>
      </c>
      <c r="M306">
        <v>50.399999999999984</v>
      </c>
    </row>
    <row r="307" spans="12:13" x14ac:dyDescent="0.3">
      <c r="L307" s="7" t="s">
        <v>152</v>
      </c>
      <c r="M307">
        <v>2.8</v>
      </c>
    </row>
    <row r="308" spans="12:13" x14ac:dyDescent="0.3">
      <c r="L308" s="7" t="s">
        <v>121</v>
      </c>
      <c r="M308">
        <v>5.6</v>
      </c>
    </row>
    <row r="309" spans="12:13" x14ac:dyDescent="0.3">
      <c r="L309" s="7" t="s">
        <v>129</v>
      </c>
      <c r="M309">
        <v>2.8</v>
      </c>
    </row>
    <row r="310" spans="12:13" x14ac:dyDescent="0.3">
      <c r="L310" s="7" t="s">
        <v>327</v>
      </c>
      <c r="M310">
        <v>2.8</v>
      </c>
    </row>
    <row r="311" spans="12:13" x14ac:dyDescent="0.3">
      <c r="L311" s="7" t="s">
        <v>27</v>
      </c>
      <c r="M311">
        <v>2.8</v>
      </c>
    </row>
    <row r="312" spans="12:13" x14ac:dyDescent="0.3">
      <c r="L312" s="7" t="s">
        <v>47</v>
      </c>
      <c r="M312">
        <v>2.8</v>
      </c>
    </row>
    <row r="313" spans="12:13" x14ac:dyDescent="0.3">
      <c r="L313" s="7" t="s">
        <v>221</v>
      </c>
      <c r="M313">
        <v>8.3999999999999986</v>
      </c>
    </row>
    <row r="314" spans="12:13" x14ac:dyDescent="0.3">
      <c r="L314" s="7" t="s">
        <v>91</v>
      </c>
      <c r="M314">
        <v>2.8</v>
      </c>
    </row>
    <row r="315" spans="12:13" x14ac:dyDescent="0.3">
      <c r="L315" s="7" t="s">
        <v>86</v>
      </c>
      <c r="M315">
        <v>2.8</v>
      </c>
    </row>
    <row r="316" spans="12:13" x14ac:dyDescent="0.3">
      <c r="L316" s="7" t="s">
        <v>39</v>
      </c>
      <c r="M316">
        <v>2.8</v>
      </c>
    </row>
    <row r="317" spans="12:13" x14ac:dyDescent="0.3">
      <c r="L317" s="7" t="s">
        <v>106</v>
      </c>
      <c r="M317">
        <v>2.8</v>
      </c>
    </row>
    <row r="318" spans="12:13" x14ac:dyDescent="0.3">
      <c r="L318" s="7" t="s">
        <v>235</v>
      </c>
      <c r="M318">
        <v>2.8</v>
      </c>
    </row>
    <row r="319" spans="12:13" x14ac:dyDescent="0.3">
      <c r="L319" s="7" t="s">
        <v>188</v>
      </c>
      <c r="M319">
        <v>2.8</v>
      </c>
    </row>
    <row r="320" spans="12:13" x14ac:dyDescent="0.3">
      <c r="L320" s="7" t="s">
        <v>56</v>
      </c>
      <c r="M320">
        <v>2.8</v>
      </c>
    </row>
    <row r="321" spans="12:13" x14ac:dyDescent="0.3">
      <c r="L321" s="7" t="s">
        <v>140</v>
      </c>
      <c r="M321">
        <v>2.8</v>
      </c>
    </row>
    <row r="322" spans="12:13" x14ac:dyDescent="0.3">
      <c r="L322" s="3">
        <v>2.9</v>
      </c>
      <c r="M322">
        <v>84.100000000000023</v>
      </c>
    </row>
    <row r="323" spans="12:13" x14ac:dyDescent="0.3">
      <c r="L323" s="7" t="s">
        <v>121</v>
      </c>
      <c r="M323">
        <v>2.9</v>
      </c>
    </row>
    <row r="324" spans="12:13" x14ac:dyDescent="0.3">
      <c r="L324" s="7" t="s">
        <v>129</v>
      </c>
      <c r="M324">
        <v>2.9</v>
      </c>
    </row>
    <row r="325" spans="12:13" x14ac:dyDescent="0.3">
      <c r="L325" s="7" t="s">
        <v>327</v>
      </c>
      <c r="M325">
        <v>5.8</v>
      </c>
    </row>
    <row r="326" spans="12:13" x14ac:dyDescent="0.3">
      <c r="L326" s="7" t="s">
        <v>27</v>
      </c>
      <c r="M326">
        <v>5.8</v>
      </c>
    </row>
    <row r="327" spans="12:13" x14ac:dyDescent="0.3">
      <c r="L327" s="7" t="s">
        <v>47</v>
      </c>
      <c r="M327">
        <v>5.8</v>
      </c>
    </row>
    <row r="328" spans="12:13" x14ac:dyDescent="0.3">
      <c r="L328" s="7" t="s">
        <v>221</v>
      </c>
      <c r="M328">
        <v>5.8</v>
      </c>
    </row>
    <row r="329" spans="12:13" x14ac:dyDescent="0.3">
      <c r="L329" s="7" t="s">
        <v>176</v>
      </c>
      <c r="M329">
        <v>5.8</v>
      </c>
    </row>
    <row r="330" spans="12:13" x14ac:dyDescent="0.3">
      <c r="L330" s="7" t="s">
        <v>91</v>
      </c>
      <c r="M330">
        <v>8.6999999999999993</v>
      </c>
    </row>
    <row r="331" spans="12:13" x14ac:dyDescent="0.3">
      <c r="L331" s="7" t="s">
        <v>39</v>
      </c>
      <c r="M331">
        <v>5.8</v>
      </c>
    </row>
    <row r="332" spans="12:13" x14ac:dyDescent="0.3">
      <c r="L332" s="7" t="s">
        <v>179</v>
      </c>
      <c r="M332">
        <v>2.9</v>
      </c>
    </row>
    <row r="333" spans="12:13" x14ac:dyDescent="0.3">
      <c r="L333" s="7" t="s">
        <v>106</v>
      </c>
      <c r="M333">
        <v>2.9</v>
      </c>
    </row>
    <row r="334" spans="12:13" x14ac:dyDescent="0.3">
      <c r="L334" s="7" t="s">
        <v>100</v>
      </c>
      <c r="M334">
        <v>5.8</v>
      </c>
    </row>
    <row r="335" spans="12:13" x14ac:dyDescent="0.3">
      <c r="L335" s="7" t="s">
        <v>235</v>
      </c>
      <c r="M335">
        <v>5.8</v>
      </c>
    </row>
    <row r="336" spans="12:13" x14ac:dyDescent="0.3">
      <c r="L336" s="7" t="s">
        <v>188</v>
      </c>
      <c r="M336">
        <v>2.9</v>
      </c>
    </row>
    <row r="337" spans="12:13" x14ac:dyDescent="0.3">
      <c r="L337" s="7" t="s">
        <v>117</v>
      </c>
      <c r="M337">
        <v>2.9</v>
      </c>
    </row>
    <row r="338" spans="12:13" x14ac:dyDescent="0.3">
      <c r="L338" s="7" t="s">
        <v>56</v>
      </c>
      <c r="M338">
        <v>2.9</v>
      </c>
    </row>
    <row r="339" spans="12:13" x14ac:dyDescent="0.3">
      <c r="L339" s="7" t="s">
        <v>271</v>
      </c>
      <c r="M339">
        <v>2.9</v>
      </c>
    </row>
    <row r="340" spans="12:13" x14ac:dyDescent="0.3">
      <c r="L340" s="7" t="s">
        <v>83</v>
      </c>
      <c r="M340">
        <v>2.9</v>
      </c>
    </row>
    <row r="341" spans="12:13" x14ac:dyDescent="0.3">
      <c r="L341" s="7" t="s">
        <v>140</v>
      </c>
      <c r="M341">
        <v>2.9</v>
      </c>
    </row>
    <row r="342" spans="12:13" x14ac:dyDescent="0.3">
      <c r="L342" s="3">
        <v>3</v>
      </c>
      <c r="M342">
        <v>87</v>
      </c>
    </row>
    <row r="343" spans="12:13" x14ac:dyDescent="0.3">
      <c r="L343" s="7" t="s">
        <v>152</v>
      </c>
      <c r="M343">
        <v>6</v>
      </c>
    </row>
    <row r="344" spans="12:13" x14ac:dyDescent="0.3">
      <c r="L344" s="7" t="s">
        <v>327</v>
      </c>
      <c r="M344">
        <v>3</v>
      </c>
    </row>
    <row r="345" spans="12:13" x14ac:dyDescent="0.3">
      <c r="L345" s="7" t="s">
        <v>27</v>
      </c>
      <c r="M345">
        <v>3</v>
      </c>
    </row>
    <row r="346" spans="12:13" x14ac:dyDescent="0.3">
      <c r="L346" s="7" t="s">
        <v>47</v>
      </c>
      <c r="M346">
        <v>9</v>
      </c>
    </row>
    <row r="347" spans="12:13" x14ac:dyDescent="0.3">
      <c r="L347" s="7" t="s">
        <v>176</v>
      </c>
      <c r="M347">
        <v>6</v>
      </c>
    </row>
    <row r="348" spans="12:13" x14ac:dyDescent="0.3">
      <c r="L348" s="7" t="s">
        <v>91</v>
      </c>
      <c r="M348">
        <v>3</v>
      </c>
    </row>
    <row r="349" spans="12:13" x14ac:dyDescent="0.3">
      <c r="L349" s="7" t="s">
        <v>86</v>
      </c>
      <c r="M349">
        <v>9</v>
      </c>
    </row>
    <row r="350" spans="12:13" x14ac:dyDescent="0.3">
      <c r="L350" s="7" t="s">
        <v>39</v>
      </c>
      <c r="M350">
        <v>9</v>
      </c>
    </row>
    <row r="351" spans="12:13" x14ac:dyDescent="0.3">
      <c r="L351" s="7" t="s">
        <v>106</v>
      </c>
      <c r="M351">
        <v>6</v>
      </c>
    </row>
    <row r="352" spans="12:13" x14ac:dyDescent="0.3">
      <c r="L352" s="7" t="s">
        <v>72</v>
      </c>
      <c r="M352">
        <v>6</v>
      </c>
    </row>
    <row r="353" spans="12:13" x14ac:dyDescent="0.3">
      <c r="L353" s="7" t="s">
        <v>188</v>
      </c>
      <c r="M353">
        <v>9</v>
      </c>
    </row>
    <row r="354" spans="12:13" x14ac:dyDescent="0.3">
      <c r="L354" s="7" t="s">
        <v>56</v>
      </c>
      <c r="M354">
        <v>6</v>
      </c>
    </row>
    <row r="355" spans="12:13" x14ac:dyDescent="0.3">
      <c r="L355" s="7" t="s">
        <v>77</v>
      </c>
      <c r="M355">
        <v>3</v>
      </c>
    </row>
    <row r="356" spans="12:13" x14ac:dyDescent="0.3">
      <c r="L356" s="7" t="s">
        <v>271</v>
      </c>
      <c r="M356">
        <v>6</v>
      </c>
    </row>
    <row r="357" spans="12:13" x14ac:dyDescent="0.3">
      <c r="L357" s="7" t="s">
        <v>140</v>
      </c>
      <c r="M357">
        <v>3</v>
      </c>
    </row>
    <row r="358" spans="12:13" x14ac:dyDescent="0.3">
      <c r="L358" s="3">
        <v>3.1</v>
      </c>
      <c r="M358">
        <v>83.7</v>
      </c>
    </row>
    <row r="359" spans="12:13" x14ac:dyDescent="0.3">
      <c r="L359" s="7" t="s">
        <v>121</v>
      </c>
      <c r="M359">
        <v>3.1</v>
      </c>
    </row>
    <row r="360" spans="12:13" x14ac:dyDescent="0.3">
      <c r="L360" s="7" t="s">
        <v>129</v>
      </c>
      <c r="M360">
        <v>9.3000000000000007</v>
      </c>
    </row>
    <row r="361" spans="12:13" x14ac:dyDescent="0.3">
      <c r="L361" s="7" t="s">
        <v>64</v>
      </c>
      <c r="M361">
        <v>12.4</v>
      </c>
    </row>
    <row r="362" spans="12:13" x14ac:dyDescent="0.3">
      <c r="L362" s="7" t="s">
        <v>27</v>
      </c>
      <c r="M362">
        <v>3.1</v>
      </c>
    </row>
    <row r="363" spans="12:13" x14ac:dyDescent="0.3">
      <c r="L363" s="7" t="s">
        <v>47</v>
      </c>
      <c r="M363">
        <v>3.1</v>
      </c>
    </row>
    <row r="364" spans="12:13" x14ac:dyDescent="0.3">
      <c r="L364" s="7" t="s">
        <v>221</v>
      </c>
      <c r="M364">
        <v>3.1</v>
      </c>
    </row>
    <row r="365" spans="12:13" x14ac:dyDescent="0.3">
      <c r="L365" s="7" t="s">
        <v>86</v>
      </c>
      <c r="M365">
        <v>3.1</v>
      </c>
    </row>
    <row r="366" spans="12:13" x14ac:dyDescent="0.3">
      <c r="L366" s="7" t="s">
        <v>39</v>
      </c>
      <c r="M366">
        <v>3.1</v>
      </c>
    </row>
    <row r="367" spans="12:13" x14ac:dyDescent="0.3">
      <c r="L367" s="7" t="s">
        <v>106</v>
      </c>
      <c r="M367">
        <v>6.2</v>
      </c>
    </row>
    <row r="368" spans="12:13" x14ac:dyDescent="0.3">
      <c r="L368" s="7" t="s">
        <v>72</v>
      </c>
      <c r="M368">
        <v>3.1</v>
      </c>
    </row>
    <row r="369" spans="12:13" x14ac:dyDescent="0.3">
      <c r="L369" s="7" t="s">
        <v>235</v>
      </c>
      <c r="M369">
        <v>3.1</v>
      </c>
    </row>
    <row r="370" spans="12:13" x14ac:dyDescent="0.3">
      <c r="L370" s="7" t="s">
        <v>188</v>
      </c>
      <c r="M370">
        <v>3.1</v>
      </c>
    </row>
    <row r="371" spans="12:13" x14ac:dyDescent="0.3">
      <c r="L371" s="7" t="s">
        <v>117</v>
      </c>
      <c r="M371">
        <v>3.1</v>
      </c>
    </row>
    <row r="372" spans="12:13" x14ac:dyDescent="0.3">
      <c r="L372" s="7" t="s">
        <v>77</v>
      </c>
      <c r="M372">
        <v>6.2</v>
      </c>
    </row>
    <row r="373" spans="12:13" x14ac:dyDescent="0.3">
      <c r="L373" s="7" t="s">
        <v>83</v>
      </c>
      <c r="M373">
        <v>9.3000000000000007</v>
      </c>
    </row>
    <row r="374" spans="12:13" x14ac:dyDescent="0.3">
      <c r="L374" s="7" t="s">
        <v>92</v>
      </c>
      <c r="M374">
        <v>3.1</v>
      </c>
    </row>
    <row r="375" spans="12:13" x14ac:dyDescent="0.3">
      <c r="L375" s="7" t="s">
        <v>140</v>
      </c>
      <c r="M375">
        <v>6.2</v>
      </c>
    </row>
    <row r="376" spans="12:13" x14ac:dyDescent="0.3">
      <c r="L376" s="3">
        <v>3.2</v>
      </c>
      <c r="M376">
        <v>76.800000000000011</v>
      </c>
    </row>
    <row r="377" spans="12:13" x14ac:dyDescent="0.3">
      <c r="L377" s="7" t="s">
        <v>121</v>
      </c>
      <c r="M377">
        <v>3.2</v>
      </c>
    </row>
    <row r="378" spans="12:13" x14ac:dyDescent="0.3">
      <c r="L378" s="7" t="s">
        <v>64</v>
      </c>
      <c r="M378">
        <v>6.4</v>
      </c>
    </row>
    <row r="379" spans="12:13" x14ac:dyDescent="0.3">
      <c r="L379" s="7" t="s">
        <v>327</v>
      </c>
      <c r="M379">
        <v>3.2</v>
      </c>
    </row>
    <row r="380" spans="12:13" x14ac:dyDescent="0.3">
      <c r="L380" s="7" t="s">
        <v>221</v>
      </c>
      <c r="M380">
        <v>3.2</v>
      </c>
    </row>
    <row r="381" spans="12:13" x14ac:dyDescent="0.3">
      <c r="L381" s="7" t="s">
        <v>91</v>
      </c>
      <c r="M381">
        <v>3.2</v>
      </c>
    </row>
    <row r="382" spans="12:13" x14ac:dyDescent="0.3">
      <c r="L382" s="7" t="s">
        <v>39</v>
      </c>
      <c r="M382">
        <v>3.2</v>
      </c>
    </row>
    <row r="383" spans="12:13" x14ac:dyDescent="0.3">
      <c r="L383" s="7" t="s">
        <v>179</v>
      </c>
      <c r="M383">
        <v>6.4</v>
      </c>
    </row>
    <row r="384" spans="12:13" x14ac:dyDescent="0.3">
      <c r="L384" s="7" t="s">
        <v>72</v>
      </c>
      <c r="M384">
        <v>3.2</v>
      </c>
    </row>
    <row r="385" spans="12:13" x14ac:dyDescent="0.3">
      <c r="L385" s="7" t="s">
        <v>100</v>
      </c>
      <c r="M385">
        <v>3.2</v>
      </c>
    </row>
    <row r="386" spans="12:13" x14ac:dyDescent="0.3">
      <c r="L386" s="7" t="s">
        <v>188</v>
      </c>
      <c r="M386">
        <v>6.4</v>
      </c>
    </row>
    <row r="387" spans="12:13" x14ac:dyDescent="0.3">
      <c r="L387" s="7" t="s">
        <v>56</v>
      </c>
      <c r="M387">
        <v>3.2</v>
      </c>
    </row>
    <row r="388" spans="12:13" x14ac:dyDescent="0.3">
      <c r="L388" s="7" t="s">
        <v>77</v>
      </c>
      <c r="M388">
        <v>12.8</v>
      </c>
    </row>
    <row r="389" spans="12:13" x14ac:dyDescent="0.3">
      <c r="L389" s="7" t="s">
        <v>271</v>
      </c>
      <c r="M389">
        <v>3.2</v>
      </c>
    </row>
    <row r="390" spans="12:13" x14ac:dyDescent="0.3">
      <c r="L390" s="7" t="s">
        <v>83</v>
      </c>
      <c r="M390">
        <v>6.4</v>
      </c>
    </row>
    <row r="391" spans="12:13" x14ac:dyDescent="0.3">
      <c r="L391" s="7" t="s">
        <v>92</v>
      </c>
      <c r="M391">
        <v>6.4</v>
      </c>
    </row>
    <row r="392" spans="12:13" x14ac:dyDescent="0.3">
      <c r="L392" s="7" t="s">
        <v>140</v>
      </c>
      <c r="M392">
        <v>3.2</v>
      </c>
    </row>
    <row r="393" spans="12:13" x14ac:dyDescent="0.3">
      <c r="L393" s="3">
        <v>3.3</v>
      </c>
      <c r="M393">
        <v>69.299999999999983</v>
      </c>
    </row>
    <row r="394" spans="12:13" x14ac:dyDescent="0.3">
      <c r="L394" s="7" t="s">
        <v>152</v>
      </c>
      <c r="M394">
        <v>3.3</v>
      </c>
    </row>
    <row r="395" spans="12:13" x14ac:dyDescent="0.3">
      <c r="L395" s="7" t="s">
        <v>121</v>
      </c>
      <c r="M395">
        <v>3.3</v>
      </c>
    </row>
    <row r="396" spans="12:13" x14ac:dyDescent="0.3">
      <c r="L396" s="7" t="s">
        <v>64</v>
      </c>
      <c r="M396">
        <v>3.3</v>
      </c>
    </row>
    <row r="397" spans="12:13" x14ac:dyDescent="0.3">
      <c r="L397" s="7" t="s">
        <v>327</v>
      </c>
      <c r="M397">
        <v>3.3</v>
      </c>
    </row>
    <row r="398" spans="12:13" x14ac:dyDescent="0.3">
      <c r="L398" s="7" t="s">
        <v>27</v>
      </c>
      <c r="M398">
        <v>3.3</v>
      </c>
    </row>
    <row r="399" spans="12:13" x14ac:dyDescent="0.3">
      <c r="L399" s="7" t="s">
        <v>47</v>
      </c>
      <c r="M399">
        <v>6.6</v>
      </c>
    </row>
    <row r="400" spans="12:13" x14ac:dyDescent="0.3">
      <c r="L400" s="7" t="s">
        <v>221</v>
      </c>
      <c r="M400">
        <v>3.3</v>
      </c>
    </row>
    <row r="401" spans="12:13" x14ac:dyDescent="0.3">
      <c r="L401" s="7" t="s">
        <v>176</v>
      </c>
      <c r="M401">
        <v>9.8999999999999986</v>
      </c>
    </row>
    <row r="402" spans="12:13" x14ac:dyDescent="0.3">
      <c r="L402" s="7" t="s">
        <v>91</v>
      </c>
      <c r="M402">
        <v>3.3</v>
      </c>
    </row>
    <row r="403" spans="12:13" x14ac:dyDescent="0.3">
      <c r="L403" s="7" t="s">
        <v>86</v>
      </c>
      <c r="M403">
        <v>6.6</v>
      </c>
    </row>
    <row r="404" spans="12:13" x14ac:dyDescent="0.3">
      <c r="L404" s="7" t="s">
        <v>179</v>
      </c>
      <c r="M404">
        <v>6.6</v>
      </c>
    </row>
    <row r="405" spans="12:13" x14ac:dyDescent="0.3">
      <c r="L405" s="7" t="s">
        <v>106</v>
      </c>
      <c r="M405">
        <v>3.3</v>
      </c>
    </row>
    <row r="406" spans="12:13" x14ac:dyDescent="0.3">
      <c r="L406" s="7" t="s">
        <v>235</v>
      </c>
      <c r="M406">
        <v>3.3</v>
      </c>
    </row>
    <row r="407" spans="12:13" x14ac:dyDescent="0.3">
      <c r="L407" s="7" t="s">
        <v>117</v>
      </c>
      <c r="M407">
        <v>3.3</v>
      </c>
    </row>
    <row r="408" spans="12:13" x14ac:dyDescent="0.3">
      <c r="L408" s="7" t="s">
        <v>77</v>
      </c>
      <c r="M408">
        <v>6.6</v>
      </c>
    </row>
    <row r="409" spans="12:13" x14ac:dyDescent="0.3">
      <c r="L409" s="3">
        <v>3.4</v>
      </c>
      <c r="M409">
        <v>64.59999999999998</v>
      </c>
    </row>
    <row r="410" spans="12:13" x14ac:dyDescent="0.3">
      <c r="L410" s="7" t="s">
        <v>121</v>
      </c>
      <c r="M410">
        <v>6.8</v>
      </c>
    </row>
    <row r="411" spans="12:13" x14ac:dyDescent="0.3">
      <c r="L411" s="7" t="s">
        <v>64</v>
      </c>
      <c r="M411">
        <v>3.4</v>
      </c>
    </row>
    <row r="412" spans="12:13" x14ac:dyDescent="0.3">
      <c r="L412" s="7" t="s">
        <v>327</v>
      </c>
      <c r="M412">
        <v>3.4</v>
      </c>
    </row>
    <row r="413" spans="12:13" x14ac:dyDescent="0.3">
      <c r="L413" s="7" t="s">
        <v>27</v>
      </c>
      <c r="M413">
        <v>3.4</v>
      </c>
    </row>
    <row r="414" spans="12:13" x14ac:dyDescent="0.3">
      <c r="L414" s="7" t="s">
        <v>47</v>
      </c>
      <c r="M414">
        <v>3.4</v>
      </c>
    </row>
    <row r="415" spans="12:13" x14ac:dyDescent="0.3">
      <c r="L415" s="7" t="s">
        <v>91</v>
      </c>
      <c r="M415">
        <v>3.4</v>
      </c>
    </row>
    <row r="416" spans="12:13" x14ac:dyDescent="0.3">
      <c r="L416" s="7" t="s">
        <v>86</v>
      </c>
      <c r="M416">
        <v>3.4</v>
      </c>
    </row>
    <row r="417" spans="12:13" x14ac:dyDescent="0.3">
      <c r="L417" s="7" t="s">
        <v>179</v>
      </c>
      <c r="M417">
        <v>3.4</v>
      </c>
    </row>
    <row r="418" spans="12:13" x14ac:dyDescent="0.3">
      <c r="L418" s="7" t="s">
        <v>100</v>
      </c>
      <c r="M418">
        <v>3.4</v>
      </c>
    </row>
    <row r="419" spans="12:13" x14ac:dyDescent="0.3">
      <c r="L419" s="7" t="s">
        <v>235</v>
      </c>
      <c r="M419">
        <v>3.4</v>
      </c>
    </row>
    <row r="420" spans="12:13" x14ac:dyDescent="0.3">
      <c r="L420" s="7" t="s">
        <v>117</v>
      </c>
      <c r="M420">
        <v>3.4</v>
      </c>
    </row>
    <row r="421" spans="12:13" x14ac:dyDescent="0.3">
      <c r="L421" s="7" t="s">
        <v>56</v>
      </c>
      <c r="M421">
        <v>6.8</v>
      </c>
    </row>
    <row r="422" spans="12:13" x14ac:dyDescent="0.3">
      <c r="L422" s="7" t="s">
        <v>77</v>
      </c>
      <c r="M422">
        <v>3.4</v>
      </c>
    </row>
    <row r="423" spans="12:13" x14ac:dyDescent="0.3">
      <c r="L423" s="7" t="s">
        <v>271</v>
      </c>
      <c r="M423">
        <v>6.8</v>
      </c>
    </row>
    <row r="424" spans="12:13" x14ac:dyDescent="0.3">
      <c r="L424" s="7" t="s">
        <v>83</v>
      </c>
      <c r="M424">
        <v>3.4</v>
      </c>
    </row>
    <row r="425" spans="12:13" x14ac:dyDescent="0.3">
      <c r="L425" s="7" t="s">
        <v>140</v>
      </c>
      <c r="M425">
        <v>3.4</v>
      </c>
    </row>
    <row r="426" spans="12:13" x14ac:dyDescent="0.3">
      <c r="L426" s="3">
        <v>3.5</v>
      </c>
      <c r="M426">
        <v>122.5</v>
      </c>
    </row>
    <row r="427" spans="12:13" x14ac:dyDescent="0.3">
      <c r="L427" s="7" t="s">
        <v>152</v>
      </c>
      <c r="M427">
        <v>7</v>
      </c>
    </row>
    <row r="428" spans="12:13" x14ac:dyDescent="0.3">
      <c r="L428" s="7" t="s">
        <v>121</v>
      </c>
      <c r="M428">
        <v>3.5</v>
      </c>
    </row>
    <row r="429" spans="12:13" x14ac:dyDescent="0.3">
      <c r="L429" s="7" t="s">
        <v>129</v>
      </c>
      <c r="M429">
        <v>3.5</v>
      </c>
    </row>
    <row r="430" spans="12:13" x14ac:dyDescent="0.3">
      <c r="L430" s="7" t="s">
        <v>327</v>
      </c>
      <c r="M430">
        <v>17.5</v>
      </c>
    </row>
    <row r="431" spans="12:13" x14ac:dyDescent="0.3">
      <c r="L431" s="7" t="s">
        <v>27</v>
      </c>
      <c r="M431">
        <v>7</v>
      </c>
    </row>
    <row r="432" spans="12:13" x14ac:dyDescent="0.3">
      <c r="L432" s="7" t="s">
        <v>221</v>
      </c>
      <c r="M432">
        <v>3.5</v>
      </c>
    </row>
    <row r="433" spans="12:13" x14ac:dyDescent="0.3">
      <c r="L433" s="7" t="s">
        <v>176</v>
      </c>
      <c r="M433">
        <v>10.5</v>
      </c>
    </row>
    <row r="434" spans="12:13" x14ac:dyDescent="0.3">
      <c r="L434" s="7" t="s">
        <v>91</v>
      </c>
      <c r="M434">
        <v>10.5</v>
      </c>
    </row>
    <row r="435" spans="12:13" x14ac:dyDescent="0.3">
      <c r="L435" s="7" t="s">
        <v>86</v>
      </c>
      <c r="M435">
        <v>7</v>
      </c>
    </row>
    <row r="436" spans="12:13" x14ac:dyDescent="0.3">
      <c r="L436" s="7" t="s">
        <v>179</v>
      </c>
      <c r="M436">
        <v>7</v>
      </c>
    </row>
    <row r="437" spans="12:13" x14ac:dyDescent="0.3">
      <c r="L437" s="7" t="s">
        <v>106</v>
      </c>
      <c r="M437">
        <v>3.5</v>
      </c>
    </row>
    <row r="438" spans="12:13" x14ac:dyDescent="0.3">
      <c r="L438" s="7" t="s">
        <v>100</v>
      </c>
      <c r="M438">
        <v>7</v>
      </c>
    </row>
    <row r="439" spans="12:13" x14ac:dyDescent="0.3">
      <c r="L439" s="7" t="s">
        <v>188</v>
      </c>
      <c r="M439">
        <v>3.5</v>
      </c>
    </row>
    <row r="440" spans="12:13" x14ac:dyDescent="0.3">
      <c r="L440" s="7" t="s">
        <v>117</v>
      </c>
      <c r="M440">
        <v>17.5</v>
      </c>
    </row>
    <row r="441" spans="12:13" x14ac:dyDescent="0.3">
      <c r="L441" s="7" t="s">
        <v>271</v>
      </c>
      <c r="M441">
        <v>3.5</v>
      </c>
    </row>
    <row r="442" spans="12:13" x14ac:dyDescent="0.3">
      <c r="L442" s="7" t="s">
        <v>92</v>
      </c>
      <c r="M442">
        <v>3.5</v>
      </c>
    </row>
    <row r="443" spans="12:13" x14ac:dyDescent="0.3">
      <c r="L443" s="7" t="s">
        <v>140</v>
      </c>
      <c r="M443">
        <v>7</v>
      </c>
    </row>
    <row r="444" spans="12:13" x14ac:dyDescent="0.3">
      <c r="L444" s="3">
        <v>3.6</v>
      </c>
      <c r="M444">
        <v>100.80000000000003</v>
      </c>
    </row>
    <row r="445" spans="12:13" x14ac:dyDescent="0.3">
      <c r="L445" s="7" t="s">
        <v>152</v>
      </c>
      <c r="M445">
        <v>3.6</v>
      </c>
    </row>
    <row r="446" spans="12:13" x14ac:dyDescent="0.3">
      <c r="L446" s="7" t="s">
        <v>121</v>
      </c>
      <c r="M446">
        <v>3.6</v>
      </c>
    </row>
    <row r="447" spans="12:13" x14ac:dyDescent="0.3">
      <c r="L447" s="7" t="s">
        <v>129</v>
      </c>
      <c r="M447">
        <v>3.6</v>
      </c>
    </row>
    <row r="448" spans="12:13" x14ac:dyDescent="0.3">
      <c r="L448" s="7" t="s">
        <v>64</v>
      </c>
      <c r="M448">
        <v>7.2</v>
      </c>
    </row>
    <row r="449" spans="12:13" x14ac:dyDescent="0.3">
      <c r="L449" s="7" t="s">
        <v>327</v>
      </c>
      <c r="M449">
        <v>3.6</v>
      </c>
    </row>
    <row r="450" spans="12:13" x14ac:dyDescent="0.3">
      <c r="L450" s="7" t="s">
        <v>27</v>
      </c>
      <c r="M450">
        <v>3.6</v>
      </c>
    </row>
    <row r="451" spans="12:13" x14ac:dyDescent="0.3">
      <c r="L451" s="7" t="s">
        <v>47</v>
      </c>
      <c r="M451">
        <v>3.6</v>
      </c>
    </row>
    <row r="452" spans="12:13" x14ac:dyDescent="0.3">
      <c r="L452" s="7" t="s">
        <v>221</v>
      </c>
      <c r="M452">
        <v>3.6</v>
      </c>
    </row>
    <row r="453" spans="12:13" x14ac:dyDescent="0.3">
      <c r="L453" s="7" t="s">
        <v>86</v>
      </c>
      <c r="M453">
        <v>3.6</v>
      </c>
    </row>
    <row r="454" spans="12:13" x14ac:dyDescent="0.3">
      <c r="L454" s="7" t="s">
        <v>179</v>
      </c>
      <c r="M454">
        <v>3.6</v>
      </c>
    </row>
    <row r="455" spans="12:13" x14ac:dyDescent="0.3">
      <c r="L455" s="7" t="s">
        <v>72</v>
      </c>
      <c r="M455">
        <v>3.6</v>
      </c>
    </row>
    <row r="456" spans="12:13" x14ac:dyDescent="0.3">
      <c r="L456" s="7" t="s">
        <v>100</v>
      </c>
      <c r="M456">
        <v>14.4</v>
      </c>
    </row>
    <row r="457" spans="12:13" x14ac:dyDescent="0.3">
      <c r="L457" s="7" t="s">
        <v>235</v>
      </c>
      <c r="M457">
        <v>3.6</v>
      </c>
    </row>
    <row r="458" spans="12:13" x14ac:dyDescent="0.3">
      <c r="L458" s="7" t="s">
        <v>117</v>
      </c>
      <c r="M458">
        <v>10.8</v>
      </c>
    </row>
    <row r="459" spans="12:13" x14ac:dyDescent="0.3">
      <c r="L459" s="7" t="s">
        <v>56</v>
      </c>
      <c r="M459">
        <v>7.2</v>
      </c>
    </row>
    <row r="460" spans="12:13" x14ac:dyDescent="0.3">
      <c r="L460" s="7" t="s">
        <v>83</v>
      </c>
      <c r="M460">
        <v>7.2</v>
      </c>
    </row>
    <row r="461" spans="12:13" x14ac:dyDescent="0.3">
      <c r="L461" s="7" t="s">
        <v>92</v>
      </c>
      <c r="M461">
        <v>7.2</v>
      </c>
    </row>
    <row r="462" spans="12:13" x14ac:dyDescent="0.3">
      <c r="L462" s="7" t="s">
        <v>140</v>
      </c>
      <c r="M462">
        <v>7.2</v>
      </c>
    </row>
    <row r="463" spans="12:13" x14ac:dyDescent="0.3">
      <c r="L463" s="3">
        <v>3.7</v>
      </c>
      <c r="M463">
        <v>99.9</v>
      </c>
    </row>
    <row r="464" spans="12:13" x14ac:dyDescent="0.3">
      <c r="L464" s="7" t="s">
        <v>121</v>
      </c>
      <c r="M464">
        <v>3.7</v>
      </c>
    </row>
    <row r="465" spans="12:13" x14ac:dyDescent="0.3">
      <c r="L465" s="7" t="s">
        <v>64</v>
      </c>
      <c r="M465">
        <v>3.7</v>
      </c>
    </row>
    <row r="466" spans="12:13" x14ac:dyDescent="0.3">
      <c r="L466" s="7" t="s">
        <v>327</v>
      </c>
      <c r="M466">
        <v>3.7</v>
      </c>
    </row>
    <row r="467" spans="12:13" x14ac:dyDescent="0.3">
      <c r="L467" s="7" t="s">
        <v>221</v>
      </c>
      <c r="M467">
        <v>3.7</v>
      </c>
    </row>
    <row r="468" spans="12:13" x14ac:dyDescent="0.3">
      <c r="L468" s="7" t="s">
        <v>91</v>
      </c>
      <c r="M468">
        <v>3.7</v>
      </c>
    </row>
    <row r="469" spans="12:13" x14ac:dyDescent="0.3">
      <c r="L469" s="7" t="s">
        <v>86</v>
      </c>
      <c r="M469">
        <v>3.7</v>
      </c>
    </row>
    <row r="470" spans="12:13" x14ac:dyDescent="0.3">
      <c r="L470" s="7" t="s">
        <v>39</v>
      </c>
      <c r="M470">
        <v>7.4</v>
      </c>
    </row>
    <row r="471" spans="12:13" x14ac:dyDescent="0.3">
      <c r="L471" s="7" t="s">
        <v>106</v>
      </c>
      <c r="M471">
        <v>7.4</v>
      </c>
    </row>
    <row r="472" spans="12:13" x14ac:dyDescent="0.3">
      <c r="L472" s="7" t="s">
        <v>72</v>
      </c>
      <c r="M472">
        <v>7.4</v>
      </c>
    </row>
    <row r="473" spans="12:13" x14ac:dyDescent="0.3">
      <c r="L473" s="7" t="s">
        <v>100</v>
      </c>
      <c r="M473">
        <v>11.100000000000001</v>
      </c>
    </row>
    <row r="474" spans="12:13" x14ac:dyDescent="0.3">
      <c r="L474" s="7" t="s">
        <v>235</v>
      </c>
      <c r="M474">
        <v>3.7</v>
      </c>
    </row>
    <row r="475" spans="12:13" x14ac:dyDescent="0.3">
      <c r="L475" s="7" t="s">
        <v>117</v>
      </c>
      <c r="M475">
        <v>3.7</v>
      </c>
    </row>
    <row r="476" spans="12:13" x14ac:dyDescent="0.3">
      <c r="L476" s="7" t="s">
        <v>56</v>
      </c>
      <c r="M476">
        <v>7.4</v>
      </c>
    </row>
    <row r="477" spans="12:13" x14ac:dyDescent="0.3">
      <c r="L477" s="7" t="s">
        <v>271</v>
      </c>
      <c r="M477">
        <v>7.4</v>
      </c>
    </row>
    <row r="478" spans="12:13" x14ac:dyDescent="0.3">
      <c r="L478" s="7" t="s">
        <v>83</v>
      </c>
      <c r="M478">
        <v>11.100000000000001</v>
      </c>
    </row>
    <row r="479" spans="12:13" x14ac:dyDescent="0.3">
      <c r="L479" s="7" t="s">
        <v>140</v>
      </c>
      <c r="M479">
        <v>11.100000000000001</v>
      </c>
    </row>
    <row r="480" spans="12:13" x14ac:dyDescent="0.3">
      <c r="L480" s="3">
        <v>3.8</v>
      </c>
      <c r="M480">
        <v>102.59999999999997</v>
      </c>
    </row>
    <row r="481" spans="12:13" x14ac:dyDescent="0.3">
      <c r="L481" s="7" t="s">
        <v>152</v>
      </c>
      <c r="M481">
        <v>7.6</v>
      </c>
    </row>
    <row r="482" spans="12:13" x14ac:dyDescent="0.3">
      <c r="L482" s="7" t="s">
        <v>121</v>
      </c>
      <c r="M482">
        <v>3.8</v>
      </c>
    </row>
    <row r="483" spans="12:13" x14ac:dyDescent="0.3">
      <c r="L483" s="7" t="s">
        <v>129</v>
      </c>
      <c r="M483">
        <v>11.399999999999999</v>
      </c>
    </row>
    <row r="484" spans="12:13" x14ac:dyDescent="0.3">
      <c r="L484" s="7" t="s">
        <v>64</v>
      </c>
      <c r="M484">
        <v>3.8</v>
      </c>
    </row>
    <row r="485" spans="12:13" x14ac:dyDescent="0.3">
      <c r="L485" s="7" t="s">
        <v>27</v>
      </c>
      <c r="M485">
        <v>11.399999999999999</v>
      </c>
    </row>
    <row r="486" spans="12:13" x14ac:dyDescent="0.3">
      <c r="L486" s="7" t="s">
        <v>221</v>
      </c>
      <c r="M486">
        <v>3.8</v>
      </c>
    </row>
    <row r="487" spans="12:13" x14ac:dyDescent="0.3">
      <c r="L487" s="7" t="s">
        <v>91</v>
      </c>
      <c r="M487">
        <v>3.8</v>
      </c>
    </row>
    <row r="488" spans="12:13" x14ac:dyDescent="0.3">
      <c r="L488" s="7" t="s">
        <v>86</v>
      </c>
      <c r="M488">
        <v>3.8</v>
      </c>
    </row>
    <row r="489" spans="12:13" x14ac:dyDescent="0.3">
      <c r="L489" s="7" t="s">
        <v>39</v>
      </c>
      <c r="M489">
        <v>3.8</v>
      </c>
    </row>
    <row r="490" spans="12:13" x14ac:dyDescent="0.3">
      <c r="L490" s="7" t="s">
        <v>179</v>
      </c>
      <c r="M490">
        <v>11.399999999999999</v>
      </c>
    </row>
    <row r="491" spans="12:13" x14ac:dyDescent="0.3">
      <c r="L491" s="7" t="s">
        <v>106</v>
      </c>
      <c r="M491">
        <v>7.6</v>
      </c>
    </row>
    <row r="492" spans="12:13" x14ac:dyDescent="0.3">
      <c r="L492" s="7" t="s">
        <v>72</v>
      </c>
      <c r="M492">
        <v>3.8</v>
      </c>
    </row>
    <row r="493" spans="12:13" x14ac:dyDescent="0.3">
      <c r="L493" s="7" t="s">
        <v>235</v>
      </c>
      <c r="M493">
        <v>7.6</v>
      </c>
    </row>
    <row r="494" spans="12:13" x14ac:dyDescent="0.3">
      <c r="L494" s="7" t="s">
        <v>188</v>
      </c>
      <c r="M494">
        <v>3.8</v>
      </c>
    </row>
    <row r="495" spans="12:13" x14ac:dyDescent="0.3">
      <c r="L495" s="7" t="s">
        <v>56</v>
      </c>
      <c r="M495">
        <v>3.8</v>
      </c>
    </row>
    <row r="496" spans="12:13" x14ac:dyDescent="0.3">
      <c r="L496" s="7" t="s">
        <v>271</v>
      </c>
      <c r="M496">
        <v>7.6</v>
      </c>
    </row>
    <row r="497" spans="12:13" x14ac:dyDescent="0.3">
      <c r="L497" s="7" t="s">
        <v>140</v>
      </c>
      <c r="M497">
        <v>3.8</v>
      </c>
    </row>
    <row r="498" spans="12:13" x14ac:dyDescent="0.3">
      <c r="L498" s="3">
        <v>3.9</v>
      </c>
      <c r="M498">
        <v>85.800000000000011</v>
      </c>
    </row>
    <row r="499" spans="12:13" x14ac:dyDescent="0.3">
      <c r="L499" s="7" t="s">
        <v>152</v>
      </c>
      <c r="M499">
        <v>7.8</v>
      </c>
    </row>
    <row r="500" spans="12:13" x14ac:dyDescent="0.3">
      <c r="L500" s="7" t="s">
        <v>121</v>
      </c>
      <c r="M500">
        <v>11.7</v>
      </c>
    </row>
    <row r="501" spans="12:13" x14ac:dyDescent="0.3">
      <c r="L501" s="7" t="s">
        <v>327</v>
      </c>
      <c r="M501">
        <v>3.9</v>
      </c>
    </row>
    <row r="502" spans="12:13" x14ac:dyDescent="0.3">
      <c r="L502" s="7" t="s">
        <v>27</v>
      </c>
      <c r="M502">
        <v>11.7</v>
      </c>
    </row>
    <row r="503" spans="12:13" x14ac:dyDescent="0.3">
      <c r="L503" s="7" t="s">
        <v>47</v>
      </c>
      <c r="M503">
        <v>3.9</v>
      </c>
    </row>
    <row r="504" spans="12:13" x14ac:dyDescent="0.3">
      <c r="L504" s="7" t="s">
        <v>176</v>
      </c>
      <c r="M504">
        <v>3.9</v>
      </c>
    </row>
    <row r="505" spans="12:13" x14ac:dyDescent="0.3">
      <c r="L505" s="7" t="s">
        <v>91</v>
      </c>
      <c r="M505">
        <v>3.9</v>
      </c>
    </row>
    <row r="506" spans="12:13" x14ac:dyDescent="0.3">
      <c r="L506" s="7" t="s">
        <v>86</v>
      </c>
      <c r="M506">
        <v>3.9</v>
      </c>
    </row>
    <row r="507" spans="12:13" x14ac:dyDescent="0.3">
      <c r="L507" s="7" t="s">
        <v>39</v>
      </c>
      <c r="M507">
        <v>7.8</v>
      </c>
    </row>
    <row r="508" spans="12:13" x14ac:dyDescent="0.3">
      <c r="L508" s="7" t="s">
        <v>106</v>
      </c>
      <c r="M508">
        <v>7.8</v>
      </c>
    </row>
    <row r="509" spans="12:13" x14ac:dyDescent="0.3">
      <c r="L509" s="7" t="s">
        <v>72</v>
      </c>
      <c r="M509">
        <v>3.9</v>
      </c>
    </row>
    <row r="510" spans="12:13" x14ac:dyDescent="0.3">
      <c r="L510" s="7" t="s">
        <v>235</v>
      </c>
      <c r="M510">
        <v>3.9</v>
      </c>
    </row>
    <row r="511" spans="12:13" x14ac:dyDescent="0.3">
      <c r="L511" s="7" t="s">
        <v>77</v>
      </c>
      <c r="M511">
        <v>3.9</v>
      </c>
    </row>
    <row r="512" spans="12:13" x14ac:dyDescent="0.3">
      <c r="L512" s="7" t="s">
        <v>92</v>
      </c>
      <c r="M512">
        <v>3.9</v>
      </c>
    </row>
    <row r="513" spans="12:13" x14ac:dyDescent="0.3">
      <c r="L513" s="7" t="s">
        <v>140</v>
      </c>
      <c r="M513">
        <v>3.9</v>
      </c>
    </row>
    <row r="514" spans="12:13" x14ac:dyDescent="0.3">
      <c r="L514" s="3">
        <v>4</v>
      </c>
      <c r="M514">
        <v>136</v>
      </c>
    </row>
    <row r="515" spans="12:13" x14ac:dyDescent="0.3">
      <c r="L515" s="7" t="s">
        <v>121</v>
      </c>
      <c r="M515">
        <v>4</v>
      </c>
    </row>
    <row r="516" spans="12:13" x14ac:dyDescent="0.3">
      <c r="L516" s="7" t="s">
        <v>129</v>
      </c>
      <c r="M516">
        <v>8</v>
      </c>
    </row>
    <row r="517" spans="12:13" x14ac:dyDescent="0.3">
      <c r="L517" s="7" t="s">
        <v>327</v>
      </c>
      <c r="M517">
        <v>8</v>
      </c>
    </row>
    <row r="518" spans="12:13" x14ac:dyDescent="0.3">
      <c r="L518" s="7" t="s">
        <v>27</v>
      </c>
      <c r="M518">
        <v>8</v>
      </c>
    </row>
    <row r="519" spans="12:13" x14ac:dyDescent="0.3">
      <c r="L519" s="7" t="s">
        <v>47</v>
      </c>
      <c r="M519">
        <v>8</v>
      </c>
    </row>
    <row r="520" spans="12:13" x14ac:dyDescent="0.3">
      <c r="L520" s="7" t="s">
        <v>221</v>
      </c>
      <c r="M520">
        <v>8</v>
      </c>
    </row>
    <row r="521" spans="12:13" x14ac:dyDescent="0.3">
      <c r="L521" s="7" t="s">
        <v>179</v>
      </c>
      <c r="M521">
        <v>4</v>
      </c>
    </row>
    <row r="522" spans="12:13" x14ac:dyDescent="0.3">
      <c r="L522" s="7" t="s">
        <v>106</v>
      </c>
      <c r="M522">
        <v>4</v>
      </c>
    </row>
    <row r="523" spans="12:13" x14ac:dyDescent="0.3">
      <c r="L523" s="7" t="s">
        <v>72</v>
      </c>
      <c r="M523">
        <v>4</v>
      </c>
    </row>
    <row r="524" spans="12:13" x14ac:dyDescent="0.3">
      <c r="L524" s="7" t="s">
        <v>100</v>
      </c>
      <c r="M524">
        <v>8</v>
      </c>
    </row>
    <row r="525" spans="12:13" x14ac:dyDescent="0.3">
      <c r="L525" s="7" t="s">
        <v>235</v>
      </c>
      <c r="M525">
        <v>8</v>
      </c>
    </row>
    <row r="526" spans="12:13" x14ac:dyDescent="0.3">
      <c r="L526" s="7" t="s">
        <v>188</v>
      </c>
      <c r="M526">
        <v>4</v>
      </c>
    </row>
    <row r="527" spans="12:13" x14ac:dyDescent="0.3">
      <c r="L527" s="7" t="s">
        <v>117</v>
      </c>
      <c r="M527">
        <v>4</v>
      </c>
    </row>
    <row r="528" spans="12:13" x14ac:dyDescent="0.3">
      <c r="L528" s="7" t="s">
        <v>56</v>
      </c>
      <c r="M528">
        <v>16</v>
      </c>
    </row>
    <row r="529" spans="12:13" x14ac:dyDescent="0.3">
      <c r="L529" s="7" t="s">
        <v>77</v>
      </c>
      <c r="M529">
        <v>8</v>
      </c>
    </row>
    <row r="530" spans="12:13" x14ac:dyDescent="0.3">
      <c r="L530" s="7" t="s">
        <v>271</v>
      </c>
      <c r="M530">
        <v>8</v>
      </c>
    </row>
    <row r="531" spans="12:13" x14ac:dyDescent="0.3">
      <c r="L531" s="7" t="s">
        <v>83</v>
      </c>
      <c r="M531">
        <v>4</v>
      </c>
    </row>
    <row r="532" spans="12:13" x14ac:dyDescent="0.3">
      <c r="L532" s="7" t="s">
        <v>92</v>
      </c>
      <c r="M532">
        <v>12</v>
      </c>
    </row>
    <row r="533" spans="12:13" x14ac:dyDescent="0.3">
      <c r="L533" s="7" t="s">
        <v>140</v>
      </c>
      <c r="M533">
        <v>8</v>
      </c>
    </row>
    <row r="534" spans="12:13" x14ac:dyDescent="0.3">
      <c r="L534" s="3">
        <v>4.0999999999999996</v>
      </c>
      <c r="M534">
        <v>114.79999999999997</v>
      </c>
    </row>
    <row r="535" spans="12:13" x14ac:dyDescent="0.3">
      <c r="L535" s="7" t="s">
        <v>152</v>
      </c>
      <c r="M535">
        <v>8.1999999999999993</v>
      </c>
    </row>
    <row r="536" spans="12:13" x14ac:dyDescent="0.3">
      <c r="L536" s="7" t="s">
        <v>121</v>
      </c>
      <c r="M536">
        <v>4.0999999999999996</v>
      </c>
    </row>
    <row r="537" spans="12:13" x14ac:dyDescent="0.3">
      <c r="L537" s="7" t="s">
        <v>129</v>
      </c>
      <c r="M537">
        <v>4.0999999999999996</v>
      </c>
    </row>
    <row r="538" spans="12:13" x14ac:dyDescent="0.3">
      <c r="L538" s="7" t="s">
        <v>64</v>
      </c>
      <c r="M538">
        <v>4.0999999999999996</v>
      </c>
    </row>
    <row r="539" spans="12:13" x14ac:dyDescent="0.3">
      <c r="L539" s="7" t="s">
        <v>27</v>
      </c>
      <c r="M539">
        <v>4.0999999999999996</v>
      </c>
    </row>
    <row r="540" spans="12:13" x14ac:dyDescent="0.3">
      <c r="L540" s="7" t="s">
        <v>47</v>
      </c>
      <c r="M540">
        <v>4.0999999999999996</v>
      </c>
    </row>
    <row r="541" spans="12:13" x14ac:dyDescent="0.3">
      <c r="L541" s="7" t="s">
        <v>221</v>
      </c>
      <c r="M541">
        <v>12.299999999999999</v>
      </c>
    </row>
    <row r="542" spans="12:13" x14ac:dyDescent="0.3">
      <c r="L542" s="7" t="s">
        <v>176</v>
      </c>
      <c r="M542">
        <v>4.0999999999999996</v>
      </c>
    </row>
    <row r="543" spans="12:13" x14ac:dyDescent="0.3">
      <c r="L543" s="7" t="s">
        <v>91</v>
      </c>
      <c r="M543">
        <v>4.0999999999999996</v>
      </c>
    </row>
    <row r="544" spans="12:13" x14ac:dyDescent="0.3">
      <c r="L544" s="7" t="s">
        <v>39</v>
      </c>
      <c r="M544">
        <v>4.0999999999999996</v>
      </c>
    </row>
    <row r="545" spans="12:13" x14ac:dyDescent="0.3">
      <c r="L545" s="7" t="s">
        <v>179</v>
      </c>
      <c r="M545">
        <v>8.1999999999999993</v>
      </c>
    </row>
    <row r="546" spans="12:13" x14ac:dyDescent="0.3">
      <c r="L546" s="7" t="s">
        <v>72</v>
      </c>
      <c r="M546">
        <v>4.0999999999999996</v>
      </c>
    </row>
    <row r="547" spans="12:13" x14ac:dyDescent="0.3">
      <c r="L547" s="7" t="s">
        <v>235</v>
      </c>
      <c r="M547">
        <v>4.0999999999999996</v>
      </c>
    </row>
    <row r="548" spans="12:13" x14ac:dyDescent="0.3">
      <c r="L548" s="7" t="s">
        <v>188</v>
      </c>
      <c r="M548">
        <v>8.1999999999999993</v>
      </c>
    </row>
    <row r="549" spans="12:13" x14ac:dyDescent="0.3">
      <c r="L549" s="7" t="s">
        <v>117</v>
      </c>
      <c r="M549">
        <v>4.0999999999999996</v>
      </c>
    </row>
    <row r="550" spans="12:13" x14ac:dyDescent="0.3">
      <c r="L550" s="7" t="s">
        <v>56</v>
      </c>
      <c r="M550">
        <v>4.0999999999999996</v>
      </c>
    </row>
    <row r="551" spans="12:13" x14ac:dyDescent="0.3">
      <c r="L551" s="7" t="s">
        <v>77</v>
      </c>
      <c r="M551">
        <v>4.0999999999999996</v>
      </c>
    </row>
    <row r="552" spans="12:13" x14ac:dyDescent="0.3">
      <c r="L552" s="7" t="s">
        <v>271</v>
      </c>
      <c r="M552">
        <v>4.0999999999999996</v>
      </c>
    </row>
    <row r="553" spans="12:13" x14ac:dyDescent="0.3">
      <c r="L553" s="7" t="s">
        <v>83</v>
      </c>
      <c r="M553">
        <v>4.0999999999999996</v>
      </c>
    </row>
    <row r="554" spans="12:13" x14ac:dyDescent="0.3">
      <c r="L554" s="7" t="s">
        <v>92</v>
      </c>
      <c r="M554">
        <v>8.1999999999999993</v>
      </c>
    </row>
    <row r="555" spans="12:13" x14ac:dyDescent="0.3">
      <c r="L555" s="7" t="s">
        <v>140</v>
      </c>
      <c r="M555">
        <v>8.1999999999999993</v>
      </c>
    </row>
    <row r="556" spans="12:13" x14ac:dyDescent="0.3">
      <c r="L556" s="3">
        <v>4.2</v>
      </c>
      <c r="M556">
        <v>147.00000000000003</v>
      </c>
    </row>
    <row r="557" spans="12:13" x14ac:dyDescent="0.3">
      <c r="L557" s="7" t="s">
        <v>152</v>
      </c>
      <c r="M557">
        <v>12.600000000000001</v>
      </c>
    </row>
    <row r="558" spans="12:13" x14ac:dyDescent="0.3">
      <c r="L558" s="7" t="s">
        <v>129</v>
      </c>
      <c r="M558">
        <v>4.2</v>
      </c>
    </row>
    <row r="559" spans="12:13" x14ac:dyDescent="0.3">
      <c r="L559" s="7" t="s">
        <v>64</v>
      </c>
      <c r="M559">
        <v>12.600000000000001</v>
      </c>
    </row>
    <row r="560" spans="12:13" x14ac:dyDescent="0.3">
      <c r="L560" s="7" t="s">
        <v>27</v>
      </c>
      <c r="M560">
        <v>12.600000000000001</v>
      </c>
    </row>
    <row r="561" spans="12:13" x14ac:dyDescent="0.3">
      <c r="L561" s="7" t="s">
        <v>47</v>
      </c>
      <c r="M561">
        <v>4.2</v>
      </c>
    </row>
    <row r="562" spans="12:13" x14ac:dyDescent="0.3">
      <c r="L562" s="7" t="s">
        <v>221</v>
      </c>
      <c r="M562">
        <v>4.2</v>
      </c>
    </row>
    <row r="563" spans="12:13" x14ac:dyDescent="0.3">
      <c r="L563" s="7" t="s">
        <v>176</v>
      </c>
      <c r="M563">
        <v>4.2</v>
      </c>
    </row>
    <row r="564" spans="12:13" x14ac:dyDescent="0.3">
      <c r="L564" s="7" t="s">
        <v>86</v>
      </c>
      <c r="M564">
        <v>12.600000000000001</v>
      </c>
    </row>
    <row r="565" spans="12:13" x14ac:dyDescent="0.3">
      <c r="L565" s="7" t="s">
        <v>39</v>
      </c>
      <c r="M565">
        <v>12.600000000000001</v>
      </c>
    </row>
    <row r="566" spans="12:13" x14ac:dyDescent="0.3">
      <c r="L566" s="7" t="s">
        <v>179</v>
      </c>
      <c r="M566">
        <v>8.4</v>
      </c>
    </row>
    <row r="567" spans="12:13" x14ac:dyDescent="0.3">
      <c r="L567" s="7" t="s">
        <v>106</v>
      </c>
      <c r="M567">
        <v>4.2</v>
      </c>
    </row>
    <row r="568" spans="12:13" x14ac:dyDescent="0.3">
      <c r="L568" s="7" t="s">
        <v>100</v>
      </c>
      <c r="M568">
        <v>4.2</v>
      </c>
    </row>
    <row r="569" spans="12:13" x14ac:dyDescent="0.3">
      <c r="L569" s="7" t="s">
        <v>235</v>
      </c>
      <c r="M569">
        <v>4.2</v>
      </c>
    </row>
    <row r="570" spans="12:13" x14ac:dyDescent="0.3">
      <c r="L570" s="7" t="s">
        <v>117</v>
      </c>
      <c r="M570">
        <v>8.4</v>
      </c>
    </row>
    <row r="571" spans="12:13" x14ac:dyDescent="0.3">
      <c r="L571" s="7" t="s">
        <v>56</v>
      </c>
      <c r="M571">
        <v>4.2</v>
      </c>
    </row>
    <row r="572" spans="12:13" x14ac:dyDescent="0.3">
      <c r="L572" s="7" t="s">
        <v>77</v>
      </c>
      <c r="M572">
        <v>12.600000000000001</v>
      </c>
    </row>
    <row r="573" spans="12:13" x14ac:dyDescent="0.3">
      <c r="L573" s="7" t="s">
        <v>271</v>
      </c>
      <c r="M573">
        <v>8.4</v>
      </c>
    </row>
    <row r="574" spans="12:13" x14ac:dyDescent="0.3">
      <c r="L574" s="7" t="s">
        <v>83</v>
      </c>
      <c r="M574">
        <v>4.2</v>
      </c>
    </row>
    <row r="575" spans="12:13" x14ac:dyDescent="0.3">
      <c r="L575" s="7" t="s">
        <v>140</v>
      </c>
      <c r="M575">
        <v>8.4</v>
      </c>
    </row>
    <row r="576" spans="12:13" x14ac:dyDescent="0.3">
      <c r="L576" s="3">
        <v>4.3</v>
      </c>
      <c r="M576">
        <v>107.49999999999997</v>
      </c>
    </row>
    <row r="577" spans="12:13" x14ac:dyDescent="0.3">
      <c r="L577" s="7" t="s">
        <v>152</v>
      </c>
      <c r="M577">
        <v>12.899999999999999</v>
      </c>
    </row>
    <row r="578" spans="12:13" x14ac:dyDescent="0.3">
      <c r="L578" s="7" t="s">
        <v>121</v>
      </c>
      <c r="M578">
        <v>8.6</v>
      </c>
    </row>
    <row r="579" spans="12:13" x14ac:dyDescent="0.3">
      <c r="L579" s="7" t="s">
        <v>129</v>
      </c>
      <c r="M579">
        <v>4.3</v>
      </c>
    </row>
    <row r="580" spans="12:13" x14ac:dyDescent="0.3">
      <c r="L580" s="7" t="s">
        <v>64</v>
      </c>
      <c r="M580">
        <v>4.3</v>
      </c>
    </row>
    <row r="581" spans="12:13" x14ac:dyDescent="0.3">
      <c r="L581" s="7" t="s">
        <v>27</v>
      </c>
      <c r="M581">
        <v>17.2</v>
      </c>
    </row>
    <row r="582" spans="12:13" x14ac:dyDescent="0.3">
      <c r="L582" s="7" t="s">
        <v>47</v>
      </c>
      <c r="M582">
        <v>4.3</v>
      </c>
    </row>
    <row r="583" spans="12:13" x14ac:dyDescent="0.3">
      <c r="L583" s="7" t="s">
        <v>91</v>
      </c>
      <c r="M583">
        <v>8.6</v>
      </c>
    </row>
    <row r="584" spans="12:13" x14ac:dyDescent="0.3">
      <c r="L584" s="7" t="s">
        <v>39</v>
      </c>
      <c r="M584">
        <v>8.6</v>
      </c>
    </row>
    <row r="585" spans="12:13" x14ac:dyDescent="0.3">
      <c r="L585" s="7" t="s">
        <v>179</v>
      </c>
      <c r="M585">
        <v>4.3</v>
      </c>
    </row>
    <row r="586" spans="12:13" x14ac:dyDescent="0.3">
      <c r="L586" s="7" t="s">
        <v>72</v>
      </c>
      <c r="M586">
        <v>4.3</v>
      </c>
    </row>
    <row r="587" spans="12:13" x14ac:dyDescent="0.3">
      <c r="L587" s="7" t="s">
        <v>100</v>
      </c>
      <c r="M587">
        <v>8.6</v>
      </c>
    </row>
    <row r="588" spans="12:13" x14ac:dyDescent="0.3">
      <c r="L588" s="7" t="s">
        <v>56</v>
      </c>
      <c r="M588">
        <v>4.3</v>
      </c>
    </row>
    <row r="589" spans="12:13" x14ac:dyDescent="0.3">
      <c r="L589" s="7" t="s">
        <v>271</v>
      </c>
      <c r="M589">
        <v>4.3</v>
      </c>
    </row>
    <row r="590" spans="12:13" x14ac:dyDescent="0.3">
      <c r="L590" s="7" t="s">
        <v>92</v>
      </c>
      <c r="M590">
        <v>8.6</v>
      </c>
    </row>
    <row r="591" spans="12:13" x14ac:dyDescent="0.3">
      <c r="L591" s="7" t="s">
        <v>140</v>
      </c>
      <c r="M591">
        <v>4.3</v>
      </c>
    </row>
    <row r="592" spans="12:13" x14ac:dyDescent="0.3">
      <c r="L592" s="3">
        <v>4.4000000000000004</v>
      </c>
      <c r="M592">
        <v>140.80000000000004</v>
      </c>
    </row>
    <row r="593" spans="12:13" x14ac:dyDescent="0.3">
      <c r="L593" s="7" t="s">
        <v>152</v>
      </c>
      <c r="M593">
        <v>4.4000000000000004</v>
      </c>
    </row>
    <row r="594" spans="12:13" x14ac:dyDescent="0.3">
      <c r="L594" s="7" t="s">
        <v>121</v>
      </c>
      <c r="M594">
        <v>8.8000000000000007</v>
      </c>
    </row>
    <row r="595" spans="12:13" x14ac:dyDescent="0.3">
      <c r="L595" s="7" t="s">
        <v>64</v>
      </c>
      <c r="M595">
        <v>4.4000000000000004</v>
      </c>
    </row>
    <row r="596" spans="12:13" x14ac:dyDescent="0.3">
      <c r="L596" s="7" t="s">
        <v>27</v>
      </c>
      <c r="M596">
        <v>8.8000000000000007</v>
      </c>
    </row>
    <row r="597" spans="12:13" x14ac:dyDescent="0.3">
      <c r="L597" s="7" t="s">
        <v>47</v>
      </c>
      <c r="M597">
        <v>13.200000000000001</v>
      </c>
    </row>
    <row r="598" spans="12:13" x14ac:dyDescent="0.3">
      <c r="L598" s="7" t="s">
        <v>221</v>
      </c>
      <c r="M598">
        <v>8.8000000000000007</v>
      </c>
    </row>
    <row r="599" spans="12:13" x14ac:dyDescent="0.3">
      <c r="L599" s="7" t="s">
        <v>176</v>
      </c>
      <c r="M599">
        <v>8.8000000000000007</v>
      </c>
    </row>
    <row r="600" spans="12:13" x14ac:dyDescent="0.3">
      <c r="L600" s="7" t="s">
        <v>91</v>
      </c>
      <c r="M600">
        <v>8.8000000000000007</v>
      </c>
    </row>
    <row r="601" spans="12:13" x14ac:dyDescent="0.3">
      <c r="L601" s="7" t="s">
        <v>86</v>
      </c>
      <c r="M601">
        <v>4.4000000000000004</v>
      </c>
    </row>
    <row r="602" spans="12:13" x14ac:dyDescent="0.3">
      <c r="L602" s="7" t="s">
        <v>179</v>
      </c>
      <c r="M602">
        <v>8.8000000000000007</v>
      </c>
    </row>
    <row r="603" spans="12:13" x14ac:dyDescent="0.3">
      <c r="L603" s="7" t="s">
        <v>106</v>
      </c>
      <c r="M603">
        <v>4.4000000000000004</v>
      </c>
    </row>
    <row r="604" spans="12:13" x14ac:dyDescent="0.3">
      <c r="L604" s="7" t="s">
        <v>235</v>
      </c>
      <c r="M604">
        <v>8.8000000000000007</v>
      </c>
    </row>
    <row r="605" spans="12:13" x14ac:dyDescent="0.3">
      <c r="L605" s="7" t="s">
        <v>188</v>
      </c>
      <c r="M605">
        <v>4.4000000000000004</v>
      </c>
    </row>
    <row r="606" spans="12:13" x14ac:dyDescent="0.3">
      <c r="L606" s="7" t="s">
        <v>117</v>
      </c>
      <c r="M606">
        <v>4.4000000000000004</v>
      </c>
    </row>
    <row r="607" spans="12:13" x14ac:dyDescent="0.3">
      <c r="L607" s="7" t="s">
        <v>56</v>
      </c>
      <c r="M607">
        <v>4.4000000000000004</v>
      </c>
    </row>
    <row r="608" spans="12:13" x14ac:dyDescent="0.3">
      <c r="L608" s="7" t="s">
        <v>77</v>
      </c>
      <c r="M608">
        <v>8.8000000000000007</v>
      </c>
    </row>
    <row r="609" spans="12:13" x14ac:dyDescent="0.3">
      <c r="L609" s="7" t="s">
        <v>271</v>
      </c>
      <c r="M609">
        <v>8.8000000000000007</v>
      </c>
    </row>
    <row r="610" spans="12:13" x14ac:dyDescent="0.3">
      <c r="L610" s="7" t="s">
        <v>92</v>
      </c>
      <c r="M610">
        <v>8.8000000000000007</v>
      </c>
    </row>
    <row r="611" spans="12:13" x14ac:dyDescent="0.3">
      <c r="L611" s="7" t="s">
        <v>140</v>
      </c>
      <c r="M611">
        <v>8.8000000000000007</v>
      </c>
    </row>
    <row r="612" spans="12:13" x14ac:dyDescent="0.3">
      <c r="L612" s="3">
        <v>4.5</v>
      </c>
      <c r="M612">
        <v>112.5</v>
      </c>
    </row>
    <row r="613" spans="12:13" x14ac:dyDescent="0.3">
      <c r="L613" s="7" t="s">
        <v>152</v>
      </c>
      <c r="M613">
        <v>4.5</v>
      </c>
    </row>
    <row r="614" spans="12:13" x14ac:dyDescent="0.3">
      <c r="L614" s="7" t="s">
        <v>121</v>
      </c>
      <c r="M614">
        <v>13.5</v>
      </c>
    </row>
    <row r="615" spans="12:13" x14ac:dyDescent="0.3">
      <c r="L615" s="7" t="s">
        <v>64</v>
      </c>
      <c r="M615">
        <v>9</v>
      </c>
    </row>
    <row r="616" spans="12:13" x14ac:dyDescent="0.3">
      <c r="L616" s="7" t="s">
        <v>27</v>
      </c>
      <c r="M616">
        <v>4.5</v>
      </c>
    </row>
    <row r="617" spans="12:13" x14ac:dyDescent="0.3">
      <c r="L617" s="7" t="s">
        <v>47</v>
      </c>
      <c r="M617">
        <v>4.5</v>
      </c>
    </row>
    <row r="618" spans="12:13" x14ac:dyDescent="0.3">
      <c r="L618" s="7" t="s">
        <v>91</v>
      </c>
      <c r="M618">
        <v>4.5</v>
      </c>
    </row>
    <row r="619" spans="12:13" x14ac:dyDescent="0.3">
      <c r="L619" s="7" t="s">
        <v>39</v>
      </c>
      <c r="M619">
        <v>4.5</v>
      </c>
    </row>
    <row r="620" spans="12:13" x14ac:dyDescent="0.3">
      <c r="L620" s="7" t="s">
        <v>179</v>
      </c>
      <c r="M620">
        <v>9</v>
      </c>
    </row>
    <row r="621" spans="12:13" x14ac:dyDescent="0.3">
      <c r="L621" s="7" t="s">
        <v>100</v>
      </c>
      <c r="M621">
        <v>9</v>
      </c>
    </row>
    <row r="622" spans="12:13" x14ac:dyDescent="0.3">
      <c r="L622" s="7" t="s">
        <v>235</v>
      </c>
      <c r="M622">
        <v>4.5</v>
      </c>
    </row>
    <row r="623" spans="12:13" x14ac:dyDescent="0.3">
      <c r="L623" s="7" t="s">
        <v>56</v>
      </c>
      <c r="M623">
        <v>9</v>
      </c>
    </row>
    <row r="624" spans="12:13" x14ac:dyDescent="0.3">
      <c r="L624" s="7" t="s">
        <v>77</v>
      </c>
      <c r="M624">
        <v>9</v>
      </c>
    </row>
    <row r="625" spans="12:13" x14ac:dyDescent="0.3">
      <c r="L625" s="7" t="s">
        <v>271</v>
      </c>
      <c r="M625">
        <v>4.5</v>
      </c>
    </row>
    <row r="626" spans="12:13" x14ac:dyDescent="0.3">
      <c r="L626" s="7" t="s">
        <v>83</v>
      </c>
      <c r="M626">
        <v>18</v>
      </c>
    </row>
    <row r="627" spans="12:13" x14ac:dyDescent="0.3">
      <c r="L627" s="7" t="s">
        <v>92</v>
      </c>
      <c r="M627">
        <v>4.5</v>
      </c>
    </row>
    <row r="628" spans="12:13" x14ac:dyDescent="0.3">
      <c r="L628" s="3">
        <v>4.5999999999999996</v>
      </c>
      <c r="M628">
        <v>119.59999999999998</v>
      </c>
    </row>
    <row r="629" spans="12:13" x14ac:dyDescent="0.3">
      <c r="L629" s="7" t="s">
        <v>152</v>
      </c>
      <c r="M629">
        <v>4.5999999999999996</v>
      </c>
    </row>
    <row r="630" spans="12:13" x14ac:dyDescent="0.3">
      <c r="L630" s="7" t="s">
        <v>121</v>
      </c>
      <c r="M630">
        <v>9.1999999999999993</v>
      </c>
    </row>
    <row r="631" spans="12:13" x14ac:dyDescent="0.3">
      <c r="L631" s="7" t="s">
        <v>64</v>
      </c>
      <c r="M631">
        <v>13.799999999999999</v>
      </c>
    </row>
    <row r="632" spans="12:13" x14ac:dyDescent="0.3">
      <c r="L632" s="7" t="s">
        <v>327</v>
      </c>
      <c r="M632">
        <v>13.799999999999999</v>
      </c>
    </row>
    <row r="633" spans="12:13" x14ac:dyDescent="0.3">
      <c r="L633" s="7" t="s">
        <v>27</v>
      </c>
      <c r="M633">
        <v>9.1999999999999993</v>
      </c>
    </row>
    <row r="634" spans="12:13" x14ac:dyDescent="0.3">
      <c r="L634" s="7" t="s">
        <v>221</v>
      </c>
      <c r="M634">
        <v>4.5999999999999996</v>
      </c>
    </row>
    <row r="635" spans="12:13" x14ac:dyDescent="0.3">
      <c r="L635" s="7" t="s">
        <v>86</v>
      </c>
      <c r="M635">
        <v>13.799999999999999</v>
      </c>
    </row>
    <row r="636" spans="12:13" x14ac:dyDescent="0.3">
      <c r="L636" s="7" t="s">
        <v>39</v>
      </c>
      <c r="M636">
        <v>4.5999999999999996</v>
      </c>
    </row>
    <row r="637" spans="12:13" x14ac:dyDescent="0.3">
      <c r="L637" s="7" t="s">
        <v>106</v>
      </c>
      <c r="M637">
        <v>4.5999999999999996</v>
      </c>
    </row>
    <row r="638" spans="12:13" x14ac:dyDescent="0.3">
      <c r="L638" s="7" t="s">
        <v>72</v>
      </c>
      <c r="M638">
        <v>9.1999999999999993</v>
      </c>
    </row>
    <row r="639" spans="12:13" x14ac:dyDescent="0.3">
      <c r="L639" s="7" t="s">
        <v>235</v>
      </c>
      <c r="M639">
        <v>4.5999999999999996</v>
      </c>
    </row>
    <row r="640" spans="12:13" x14ac:dyDescent="0.3">
      <c r="L640" s="7" t="s">
        <v>117</v>
      </c>
      <c r="M640">
        <v>4.5999999999999996</v>
      </c>
    </row>
    <row r="641" spans="12:13" x14ac:dyDescent="0.3">
      <c r="L641" s="7" t="s">
        <v>271</v>
      </c>
      <c r="M641">
        <v>4.5999999999999996</v>
      </c>
    </row>
    <row r="642" spans="12:13" x14ac:dyDescent="0.3">
      <c r="L642" s="7" t="s">
        <v>83</v>
      </c>
      <c r="M642">
        <v>9.1999999999999993</v>
      </c>
    </row>
    <row r="643" spans="12:13" x14ac:dyDescent="0.3">
      <c r="L643" s="7" t="s">
        <v>92</v>
      </c>
      <c r="M643">
        <v>9.1999999999999993</v>
      </c>
    </row>
    <row r="644" spans="12:13" x14ac:dyDescent="0.3">
      <c r="L644" s="3">
        <v>4.7</v>
      </c>
      <c r="M644">
        <v>79.900000000000006</v>
      </c>
    </row>
    <row r="645" spans="12:13" x14ac:dyDescent="0.3">
      <c r="L645" s="7" t="s">
        <v>152</v>
      </c>
      <c r="M645">
        <v>4.7</v>
      </c>
    </row>
    <row r="646" spans="12:13" x14ac:dyDescent="0.3">
      <c r="L646" s="7" t="s">
        <v>64</v>
      </c>
      <c r="M646">
        <v>4.7</v>
      </c>
    </row>
    <row r="647" spans="12:13" x14ac:dyDescent="0.3">
      <c r="L647" s="7" t="s">
        <v>27</v>
      </c>
      <c r="M647">
        <v>4.7</v>
      </c>
    </row>
    <row r="648" spans="12:13" x14ac:dyDescent="0.3">
      <c r="L648" s="7" t="s">
        <v>221</v>
      </c>
      <c r="M648">
        <v>4.7</v>
      </c>
    </row>
    <row r="649" spans="12:13" x14ac:dyDescent="0.3">
      <c r="L649" s="7" t="s">
        <v>86</v>
      </c>
      <c r="M649">
        <v>4.7</v>
      </c>
    </row>
    <row r="650" spans="12:13" x14ac:dyDescent="0.3">
      <c r="L650" s="7" t="s">
        <v>106</v>
      </c>
      <c r="M650">
        <v>4.7</v>
      </c>
    </row>
    <row r="651" spans="12:13" x14ac:dyDescent="0.3">
      <c r="L651" s="7" t="s">
        <v>72</v>
      </c>
      <c r="M651">
        <v>14.100000000000001</v>
      </c>
    </row>
    <row r="652" spans="12:13" x14ac:dyDescent="0.3">
      <c r="L652" s="7" t="s">
        <v>100</v>
      </c>
      <c r="M652">
        <v>4.7</v>
      </c>
    </row>
    <row r="653" spans="12:13" x14ac:dyDescent="0.3">
      <c r="L653" s="7" t="s">
        <v>56</v>
      </c>
      <c r="M653">
        <v>14.100000000000001</v>
      </c>
    </row>
    <row r="654" spans="12:13" x14ac:dyDescent="0.3">
      <c r="L654" s="7" t="s">
        <v>77</v>
      </c>
      <c r="M654">
        <v>4.7</v>
      </c>
    </row>
    <row r="655" spans="12:13" x14ac:dyDescent="0.3">
      <c r="L655" s="7" t="s">
        <v>92</v>
      </c>
      <c r="M655">
        <v>9.4</v>
      </c>
    </row>
    <row r="656" spans="12:13" x14ac:dyDescent="0.3">
      <c r="L656" s="7" t="s">
        <v>140</v>
      </c>
      <c r="M656">
        <v>4.7</v>
      </c>
    </row>
    <row r="657" spans="12:13" x14ac:dyDescent="0.3">
      <c r="L657" s="3">
        <v>4.8</v>
      </c>
      <c r="M657">
        <v>105.59999999999998</v>
      </c>
    </row>
    <row r="658" spans="12:13" x14ac:dyDescent="0.3">
      <c r="L658" s="7" t="s">
        <v>152</v>
      </c>
      <c r="M658">
        <v>4.8</v>
      </c>
    </row>
    <row r="659" spans="12:13" x14ac:dyDescent="0.3">
      <c r="L659" s="7" t="s">
        <v>129</v>
      </c>
      <c r="M659">
        <v>4.8</v>
      </c>
    </row>
    <row r="660" spans="12:13" x14ac:dyDescent="0.3">
      <c r="L660" s="7" t="s">
        <v>64</v>
      </c>
      <c r="M660">
        <v>9.6</v>
      </c>
    </row>
    <row r="661" spans="12:13" x14ac:dyDescent="0.3">
      <c r="L661" s="7" t="s">
        <v>27</v>
      </c>
      <c r="M661">
        <v>14.399999999999999</v>
      </c>
    </row>
    <row r="662" spans="12:13" x14ac:dyDescent="0.3">
      <c r="L662" s="7" t="s">
        <v>47</v>
      </c>
      <c r="M662">
        <v>9.6</v>
      </c>
    </row>
    <row r="663" spans="12:13" x14ac:dyDescent="0.3">
      <c r="L663" s="7" t="s">
        <v>221</v>
      </c>
      <c r="M663">
        <v>9.6</v>
      </c>
    </row>
    <row r="664" spans="12:13" x14ac:dyDescent="0.3">
      <c r="L664" s="7" t="s">
        <v>39</v>
      </c>
      <c r="M664">
        <v>9.6</v>
      </c>
    </row>
    <row r="665" spans="12:13" x14ac:dyDescent="0.3">
      <c r="L665" s="7" t="s">
        <v>179</v>
      </c>
      <c r="M665">
        <v>9.6</v>
      </c>
    </row>
    <row r="666" spans="12:13" x14ac:dyDescent="0.3">
      <c r="L666" s="7" t="s">
        <v>106</v>
      </c>
      <c r="M666">
        <v>4.8</v>
      </c>
    </row>
    <row r="667" spans="12:13" x14ac:dyDescent="0.3">
      <c r="L667" s="7" t="s">
        <v>72</v>
      </c>
      <c r="M667">
        <v>4.8</v>
      </c>
    </row>
    <row r="668" spans="12:13" x14ac:dyDescent="0.3">
      <c r="L668" s="7" t="s">
        <v>235</v>
      </c>
      <c r="M668">
        <v>4.8</v>
      </c>
    </row>
    <row r="669" spans="12:13" x14ac:dyDescent="0.3">
      <c r="L669" s="7" t="s">
        <v>188</v>
      </c>
      <c r="M669">
        <v>4.8</v>
      </c>
    </row>
    <row r="670" spans="12:13" x14ac:dyDescent="0.3">
      <c r="L670" s="7" t="s">
        <v>117</v>
      </c>
      <c r="M670">
        <v>4.8</v>
      </c>
    </row>
    <row r="671" spans="12:13" x14ac:dyDescent="0.3">
      <c r="L671" s="7" t="s">
        <v>56</v>
      </c>
      <c r="M671">
        <v>9.6</v>
      </c>
    </row>
    <row r="672" spans="12:13" x14ac:dyDescent="0.3">
      <c r="L672" s="3">
        <v>4.9000000000000004</v>
      </c>
      <c r="M672">
        <v>112.70000000000002</v>
      </c>
    </row>
    <row r="673" spans="12:13" x14ac:dyDescent="0.3">
      <c r="L673" s="7" t="s">
        <v>121</v>
      </c>
      <c r="M673">
        <v>4.9000000000000004</v>
      </c>
    </row>
    <row r="674" spans="12:13" x14ac:dyDescent="0.3">
      <c r="L674" s="7" t="s">
        <v>129</v>
      </c>
      <c r="M674">
        <v>4.9000000000000004</v>
      </c>
    </row>
    <row r="675" spans="12:13" x14ac:dyDescent="0.3">
      <c r="L675" s="7" t="s">
        <v>64</v>
      </c>
      <c r="M675">
        <v>4.9000000000000004</v>
      </c>
    </row>
    <row r="676" spans="12:13" x14ac:dyDescent="0.3">
      <c r="L676" s="7" t="s">
        <v>27</v>
      </c>
      <c r="M676">
        <v>9.8000000000000007</v>
      </c>
    </row>
    <row r="677" spans="12:13" x14ac:dyDescent="0.3">
      <c r="L677" s="7" t="s">
        <v>221</v>
      </c>
      <c r="M677">
        <v>9.8000000000000007</v>
      </c>
    </row>
    <row r="678" spans="12:13" x14ac:dyDescent="0.3">
      <c r="L678" s="7" t="s">
        <v>176</v>
      </c>
      <c r="M678">
        <v>4.9000000000000004</v>
      </c>
    </row>
    <row r="679" spans="12:13" x14ac:dyDescent="0.3">
      <c r="L679" s="7" t="s">
        <v>91</v>
      </c>
      <c r="M679">
        <v>9.8000000000000007</v>
      </c>
    </row>
    <row r="680" spans="12:13" x14ac:dyDescent="0.3">
      <c r="L680" s="7" t="s">
        <v>106</v>
      </c>
      <c r="M680">
        <v>4.9000000000000004</v>
      </c>
    </row>
    <row r="681" spans="12:13" x14ac:dyDescent="0.3">
      <c r="L681" s="7" t="s">
        <v>100</v>
      </c>
      <c r="M681">
        <v>9.8000000000000007</v>
      </c>
    </row>
    <row r="682" spans="12:13" x14ac:dyDescent="0.3">
      <c r="L682" s="7" t="s">
        <v>188</v>
      </c>
      <c r="M682">
        <v>4.9000000000000004</v>
      </c>
    </row>
    <row r="683" spans="12:13" x14ac:dyDescent="0.3">
      <c r="L683" s="7" t="s">
        <v>117</v>
      </c>
      <c r="M683">
        <v>9.8000000000000007</v>
      </c>
    </row>
    <row r="684" spans="12:13" x14ac:dyDescent="0.3">
      <c r="L684" s="7" t="s">
        <v>56</v>
      </c>
      <c r="M684">
        <v>4.9000000000000004</v>
      </c>
    </row>
    <row r="685" spans="12:13" x14ac:dyDescent="0.3">
      <c r="L685" s="7" t="s">
        <v>271</v>
      </c>
      <c r="M685">
        <v>14.700000000000001</v>
      </c>
    </row>
    <row r="686" spans="12:13" x14ac:dyDescent="0.3">
      <c r="L686" s="7" t="s">
        <v>83</v>
      </c>
      <c r="M686">
        <v>9.8000000000000007</v>
      </c>
    </row>
    <row r="687" spans="12:13" x14ac:dyDescent="0.3">
      <c r="L687" s="7" t="s">
        <v>140</v>
      </c>
      <c r="M687">
        <v>4.9000000000000004</v>
      </c>
    </row>
    <row r="688" spans="12:13" x14ac:dyDescent="0.3">
      <c r="L688" s="3">
        <v>5</v>
      </c>
      <c r="M688">
        <v>25</v>
      </c>
    </row>
    <row r="689" spans="7:13" x14ac:dyDescent="0.3">
      <c r="L689" s="7" t="s">
        <v>152</v>
      </c>
      <c r="M689">
        <v>5</v>
      </c>
    </row>
    <row r="690" spans="7:13" x14ac:dyDescent="0.3">
      <c r="L690" s="7" t="s">
        <v>121</v>
      </c>
      <c r="M690">
        <v>5</v>
      </c>
    </row>
    <row r="691" spans="7:13" x14ac:dyDescent="0.3">
      <c r="G691">
        <f>GETPIVOTDATA("Customer Rating",$L$22)</f>
        <v>3011.099999999999</v>
      </c>
      <c r="L691" s="7" t="s">
        <v>106</v>
      </c>
      <c r="M691">
        <v>5</v>
      </c>
    </row>
    <row r="692" spans="7:13" x14ac:dyDescent="0.3">
      <c r="L692" s="7" t="s">
        <v>188</v>
      </c>
      <c r="M692">
        <v>5</v>
      </c>
    </row>
    <row r="693" spans="7:13" x14ac:dyDescent="0.3">
      <c r="L693" s="7" t="s">
        <v>117</v>
      </c>
      <c r="M693">
        <v>5</v>
      </c>
    </row>
    <row r="694" spans="7:13" x14ac:dyDescent="0.3">
      <c r="L694" s="3" t="s">
        <v>1475</v>
      </c>
      <c r="M694">
        <v>3011.099999999999</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1EF58-4634-4B45-ACCF-1F9B1471678F}">
  <dimension ref="A2:T45"/>
  <sheetViews>
    <sheetView tabSelected="1" zoomScale="60" zoomScaleNormal="60" workbookViewId="0">
      <selection activeCell="Q39" sqref="Q39"/>
    </sheetView>
  </sheetViews>
  <sheetFormatPr defaultRowHeight="14.4" x14ac:dyDescent="0.3"/>
  <sheetData>
    <row r="2" spans="1:20" x14ac:dyDescent="0.3">
      <c r="A2" s="4"/>
      <c r="B2" s="4"/>
      <c r="C2" s="4"/>
      <c r="D2" s="4"/>
      <c r="E2" s="4"/>
      <c r="F2" s="4"/>
      <c r="G2" s="4"/>
      <c r="H2" s="4"/>
      <c r="I2" s="4"/>
      <c r="J2" s="4"/>
      <c r="K2" s="4"/>
      <c r="L2" s="4"/>
      <c r="M2" s="4"/>
      <c r="N2" s="4"/>
      <c r="O2" s="4"/>
      <c r="P2" s="4"/>
    </row>
    <row r="3" spans="1:20" x14ac:dyDescent="0.3">
      <c r="A3" s="4"/>
      <c r="B3" s="4"/>
      <c r="C3" s="4"/>
      <c r="D3" s="4"/>
      <c r="E3" s="4"/>
      <c r="F3" s="4"/>
      <c r="G3" s="4"/>
      <c r="H3" s="4"/>
      <c r="I3" s="4"/>
      <c r="J3" s="4"/>
      <c r="K3" s="4"/>
      <c r="L3" s="4"/>
      <c r="M3" s="4"/>
      <c r="N3" s="4"/>
      <c r="O3" s="4"/>
      <c r="P3" s="4"/>
      <c r="Q3" s="5"/>
      <c r="R3" s="5"/>
    </row>
    <row r="4" spans="1:20" x14ac:dyDescent="0.3">
      <c r="A4" s="4"/>
      <c r="B4" s="4"/>
      <c r="C4" s="4"/>
      <c r="D4" s="4"/>
      <c r="E4" s="4"/>
      <c r="F4" s="4"/>
      <c r="G4" s="4"/>
      <c r="H4" s="4"/>
      <c r="I4" s="4"/>
      <c r="J4" s="4"/>
      <c r="K4" s="4"/>
      <c r="L4" s="4"/>
      <c r="M4" s="4"/>
      <c r="N4" s="4"/>
      <c r="O4" s="4"/>
      <c r="P4" s="4"/>
      <c r="Q4" s="5"/>
      <c r="R4" s="5"/>
    </row>
    <row r="5" spans="1:20" x14ac:dyDescent="0.3">
      <c r="A5" s="4"/>
      <c r="B5" s="4"/>
      <c r="C5" s="4"/>
      <c r="D5" s="4"/>
      <c r="E5" s="4"/>
      <c r="F5" s="4"/>
      <c r="G5" s="4"/>
      <c r="H5" s="4"/>
      <c r="I5" s="4"/>
      <c r="J5" s="4"/>
      <c r="K5" s="4"/>
      <c r="L5" s="4"/>
      <c r="M5" s="4"/>
      <c r="N5" s="4"/>
      <c r="O5" s="4"/>
      <c r="P5" s="4"/>
      <c r="Q5" s="5"/>
      <c r="R5" s="5"/>
    </row>
    <row r="6" spans="1:20" x14ac:dyDescent="0.3">
      <c r="A6" s="4"/>
      <c r="B6" s="4"/>
      <c r="C6" s="4"/>
      <c r="D6" s="4"/>
      <c r="E6" s="4"/>
      <c r="F6" s="4"/>
      <c r="G6" s="4"/>
      <c r="H6" s="4"/>
      <c r="I6" s="4"/>
      <c r="J6" s="4"/>
      <c r="K6" s="4"/>
      <c r="L6" s="4"/>
      <c r="M6" s="4"/>
      <c r="N6" s="4"/>
      <c r="O6" s="4"/>
      <c r="P6" s="4"/>
      <c r="Q6" s="5"/>
      <c r="R6" s="5"/>
    </row>
    <row r="7" spans="1:20" x14ac:dyDescent="0.3">
      <c r="A7" s="4"/>
      <c r="B7" s="4"/>
      <c r="C7" s="4"/>
      <c r="D7" s="4"/>
      <c r="E7" s="4"/>
      <c r="F7" s="4"/>
      <c r="G7" s="4"/>
      <c r="H7" s="4"/>
      <c r="I7" s="4"/>
      <c r="J7" s="4"/>
      <c r="K7" s="4"/>
      <c r="L7" s="4"/>
      <c r="M7" s="4"/>
      <c r="N7" s="4"/>
      <c r="O7" s="4"/>
      <c r="P7" s="4"/>
      <c r="Q7" s="5"/>
      <c r="R7" s="5"/>
    </row>
    <row r="8" spans="1:20" x14ac:dyDescent="0.3">
      <c r="A8" s="4"/>
      <c r="B8" s="4"/>
      <c r="C8" s="4"/>
      <c r="D8" s="4"/>
      <c r="E8" s="4"/>
      <c r="F8" s="4"/>
      <c r="G8" s="4"/>
      <c r="H8" s="4"/>
      <c r="I8" s="4"/>
      <c r="J8" s="4"/>
      <c r="K8" s="4"/>
      <c r="L8" s="4"/>
      <c r="M8" s="4"/>
      <c r="N8" s="4"/>
      <c r="O8" s="4"/>
      <c r="P8" s="4"/>
      <c r="Q8" s="5"/>
      <c r="R8" s="5"/>
    </row>
    <row r="9" spans="1:20" x14ac:dyDescent="0.3">
      <c r="A9" s="4"/>
      <c r="B9" s="4"/>
      <c r="C9" s="4"/>
      <c r="D9" s="4"/>
      <c r="E9" s="4"/>
      <c r="F9" s="4"/>
      <c r="G9" s="4"/>
      <c r="H9" s="4"/>
      <c r="I9" s="4"/>
      <c r="J9" s="4"/>
      <c r="K9" s="4"/>
      <c r="L9" s="4"/>
      <c r="M9" s="4"/>
      <c r="N9" s="4"/>
      <c r="O9" s="4"/>
      <c r="P9" s="4"/>
      <c r="Q9" s="5"/>
      <c r="R9" s="5"/>
    </row>
    <row r="10" spans="1:20" ht="36.6" x14ac:dyDescent="0.3">
      <c r="A10" s="4"/>
      <c r="B10" s="4"/>
      <c r="C10" s="4"/>
      <c r="D10" s="4"/>
      <c r="E10" s="4"/>
      <c r="F10" s="4"/>
      <c r="G10" s="4"/>
      <c r="H10" s="4"/>
      <c r="I10" s="4"/>
      <c r="J10" s="4"/>
      <c r="K10" s="4"/>
      <c r="L10" s="4"/>
      <c r="M10" s="4"/>
      <c r="N10" s="4"/>
      <c r="O10" s="4"/>
      <c r="P10" s="4"/>
      <c r="Q10" s="5"/>
      <c r="R10" s="5"/>
      <c r="T10" s="6"/>
    </row>
    <row r="11" spans="1:20" x14ac:dyDescent="0.3">
      <c r="A11" s="4"/>
      <c r="B11" s="4"/>
      <c r="C11" s="4"/>
      <c r="D11" s="4"/>
      <c r="E11" s="4"/>
      <c r="F11" s="4"/>
      <c r="G11" s="4"/>
      <c r="H11" s="4"/>
      <c r="I11" s="4"/>
      <c r="J11" s="4"/>
      <c r="K11" s="4"/>
      <c r="L11" s="4"/>
      <c r="M11" s="4"/>
      <c r="N11" s="4"/>
      <c r="O11" s="4"/>
      <c r="P11" s="4"/>
      <c r="Q11" s="5"/>
      <c r="R11" s="5"/>
    </row>
    <row r="12" spans="1:20" x14ac:dyDescent="0.3">
      <c r="A12" s="4"/>
      <c r="B12" s="4"/>
      <c r="C12" s="4"/>
      <c r="D12" s="4"/>
      <c r="E12" s="4"/>
      <c r="F12" s="4"/>
      <c r="G12" s="4"/>
      <c r="H12" s="4"/>
      <c r="I12" s="4"/>
      <c r="J12" s="4"/>
      <c r="K12" s="4"/>
      <c r="L12" s="4"/>
      <c r="M12" s="4"/>
      <c r="N12" s="4"/>
      <c r="O12" s="4"/>
      <c r="P12" s="4"/>
      <c r="Q12" s="5"/>
      <c r="R12" s="5"/>
    </row>
    <row r="13" spans="1:20" x14ac:dyDescent="0.3">
      <c r="A13" s="4"/>
      <c r="B13" s="4"/>
      <c r="C13" s="4"/>
      <c r="D13" s="4"/>
      <c r="E13" s="4"/>
      <c r="F13" s="4"/>
      <c r="G13" s="4"/>
      <c r="H13" s="4"/>
      <c r="I13" s="4"/>
      <c r="J13" s="4"/>
      <c r="K13" s="4"/>
      <c r="L13" s="4"/>
      <c r="M13" s="4"/>
      <c r="N13" s="4"/>
      <c r="O13" s="4"/>
      <c r="P13" s="4"/>
      <c r="Q13" s="5"/>
      <c r="R13" s="5"/>
    </row>
    <row r="14" spans="1:20" x14ac:dyDescent="0.3">
      <c r="A14" s="4"/>
      <c r="B14" s="4"/>
      <c r="C14" s="4"/>
      <c r="D14" s="4"/>
      <c r="E14" s="4"/>
      <c r="F14" s="4"/>
      <c r="G14" s="4"/>
      <c r="H14" s="4"/>
      <c r="I14" s="4"/>
      <c r="J14" s="4"/>
      <c r="K14" s="4"/>
      <c r="L14" s="4"/>
      <c r="M14" s="4"/>
      <c r="N14" s="4"/>
      <c r="O14" s="4"/>
      <c r="P14" s="4"/>
      <c r="Q14" s="5"/>
      <c r="R14" s="5"/>
    </row>
    <row r="15" spans="1:20" x14ac:dyDescent="0.3">
      <c r="A15" s="4"/>
      <c r="B15" s="4"/>
      <c r="C15" s="4"/>
      <c r="D15" s="4"/>
      <c r="E15" s="4"/>
      <c r="F15" s="4"/>
      <c r="G15" s="4"/>
      <c r="H15" s="4"/>
      <c r="I15" s="4"/>
      <c r="J15" s="4"/>
      <c r="K15" s="4"/>
      <c r="L15" s="4"/>
      <c r="M15" s="4"/>
      <c r="N15" s="4"/>
      <c r="O15" s="4"/>
      <c r="P15" s="4"/>
      <c r="Q15" s="5"/>
      <c r="R15" s="5"/>
    </row>
    <row r="16" spans="1:20" x14ac:dyDescent="0.3">
      <c r="A16" s="4"/>
      <c r="B16" s="4"/>
      <c r="C16" s="4"/>
      <c r="D16" s="4"/>
      <c r="E16" s="4"/>
      <c r="F16" s="4"/>
      <c r="G16" s="4"/>
      <c r="H16" s="4"/>
      <c r="I16" s="4"/>
      <c r="J16" s="4"/>
      <c r="K16" s="4"/>
      <c r="L16" s="4"/>
      <c r="M16" s="4"/>
      <c r="N16" s="4"/>
      <c r="O16" s="4"/>
      <c r="P16" s="4"/>
      <c r="Q16" s="5"/>
      <c r="R16" s="5"/>
    </row>
    <row r="17" spans="1:18" x14ac:dyDescent="0.3">
      <c r="A17" s="4"/>
      <c r="B17" s="4"/>
      <c r="C17" s="4"/>
      <c r="D17" s="4"/>
      <c r="E17" s="4"/>
      <c r="F17" s="4"/>
      <c r="G17" s="4"/>
      <c r="H17" s="4"/>
      <c r="I17" s="4"/>
      <c r="J17" s="4"/>
      <c r="K17" s="4"/>
      <c r="L17" s="4"/>
      <c r="M17" s="4"/>
      <c r="N17" s="4"/>
      <c r="O17" s="4"/>
      <c r="P17" s="4"/>
      <c r="Q17" s="5"/>
      <c r="R17" s="5"/>
    </row>
    <row r="18" spans="1:18" x14ac:dyDescent="0.3">
      <c r="A18" s="4"/>
      <c r="B18" s="4"/>
      <c r="C18" s="4"/>
      <c r="D18" s="4"/>
      <c r="E18" s="4"/>
      <c r="F18" s="4"/>
      <c r="G18" s="4"/>
      <c r="H18" s="4"/>
      <c r="I18" s="4"/>
      <c r="J18" s="4"/>
      <c r="K18" s="4"/>
      <c r="L18" s="4"/>
      <c r="M18" s="4"/>
      <c r="N18" s="4"/>
      <c r="O18" s="4"/>
      <c r="P18" s="4"/>
      <c r="Q18" s="5"/>
      <c r="R18" s="5"/>
    </row>
    <row r="19" spans="1:18" x14ac:dyDescent="0.3">
      <c r="A19" s="4"/>
      <c r="B19" s="4"/>
      <c r="C19" s="4"/>
      <c r="D19" s="4"/>
      <c r="E19" s="4"/>
      <c r="F19" s="4"/>
      <c r="G19" s="4"/>
      <c r="H19" s="4"/>
      <c r="I19" s="4"/>
      <c r="J19" s="4"/>
      <c r="K19" s="4"/>
      <c r="L19" s="4"/>
      <c r="M19" s="4"/>
      <c r="N19" s="4"/>
      <c r="O19" s="4"/>
      <c r="P19" s="4"/>
      <c r="Q19" s="5"/>
      <c r="R19" s="5"/>
    </row>
    <row r="20" spans="1:18" x14ac:dyDescent="0.3">
      <c r="A20" s="4"/>
      <c r="B20" s="4"/>
      <c r="C20" s="4"/>
      <c r="D20" s="4"/>
      <c r="E20" s="4"/>
      <c r="F20" s="4"/>
      <c r="G20" s="4"/>
      <c r="H20" s="4"/>
      <c r="I20" s="4"/>
      <c r="J20" s="4"/>
      <c r="K20" s="4"/>
      <c r="L20" s="4"/>
      <c r="M20" s="4"/>
      <c r="N20" s="4"/>
      <c r="O20" s="4"/>
      <c r="P20" s="4"/>
      <c r="Q20" s="5"/>
      <c r="R20" s="5"/>
    </row>
    <row r="21" spans="1:18" x14ac:dyDescent="0.3">
      <c r="A21" s="4"/>
      <c r="B21" s="4"/>
      <c r="C21" s="4"/>
      <c r="D21" s="4"/>
      <c r="E21" s="4"/>
      <c r="F21" s="4"/>
      <c r="G21" s="4"/>
      <c r="H21" s="4"/>
      <c r="I21" s="4"/>
      <c r="J21" s="4"/>
      <c r="K21" s="4"/>
      <c r="L21" s="4"/>
      <c r="M21" s="4"/>
      <c r="N21" s="4"/>
      <c r="O21" s="4"/>
      <c r="P21" s="4"/>
      <c r="Q21" s="5"/>
      <c r="R21" s="5"/>
    </row>
    <row r="22" spans="1:18" x14ac:dyDescent="0.3">
      <c r="A22" s="4"/>
      <c r="B22" s="4"/>
      <c r="C22" s="4"/>
      <c r="D22" s="4"/>
      <c r="E22" s="4"/>
      <c r="F22" s="4"/>
      <c r="G22" s="4"/>
      <c r="H22" s="4"/>
      <c r="I22" s="4"/>
      <c r="J22" s="4"/>
      <c r="K22" s="4"/>
      <c r="L22" s="4"/>
      <c r="M22" s="4"/>
      <c r="N22" s="4"/>
      <c r="O22" s="4"/>
      <c r="P22" s="4"/>
      <c r="Q22" s="5"/>
      <c r="R22" s="5"/>
    </row>
    <row r="23" spans="1:18" x14ac:dyDescent="0.3">
      <c r="A23" s="4"/>
      <c r="B23" s="4"/>
      <c r="C23" s="4"/>
      <c r="D23" s="4"/>
      <c r="E23" s="4"/>
      <c r="F23" s="4"/>
      <c r="G23" s="4"/>
      <c r="H23" s="4"/>
      <c r="I23" s="4"/>
      <c r="J23" s="4"/>
      <c r="K23" s="4"/>
      <c r="L23" s="4"/>
      <c r="M23" s="4"/>
      <c r="N23" s="4"/>
      <c r="O23" s="4"/>
      <c r="P23" s="4"/>
      <c r="Q23" s="5"/>
      <c r="R23" s="5"/>
    </row>
    <row r="24" spans="1:18" x14ac:dyDescent="0.3">
      <c r="A24" s="4"/>
      <c r="B24" s="4"/>
      <c r="C24" s="4"/>
      <c r="D24" s="4"/>
      <c r="E24" s="4"/>
      <c r="F24" s="4"/>
      <c r="G24" s="4"/>
      <c r="H24" s="4"/>
      <c r="I24" s="4"/>
      <c r="J24" s="4"/>
      <c r="K24" s="4"/>
      <c r="L24" s="4"/>
      <c r="M24" s="4"/>
      <c r="N24" s="4"/>
      <c r="O24" s="4"/>
      <c r="P24" s="4"/>
      <c r="Q24" s="5"/>
      <c r="R24" s="5"/>
    </row>
    <row r="25" spans="1:18" x14ac:dyDescent="0.3">
      <c r="A25" s="4"/>
      <c r="B25" s="4"/>
      <c r="C25" s="4"/>
      <c r="D25" s="4"/>
      <c r="E25" s="4"/>
      <c r="F25" s="4"/>
      <c r="G25" s="4"/>
      <c r="H25" s="4"/>
      <c r="I25" s="4"/>
      <c r="J25" s="4"/>
      <c r="K25" s="4"/>
      <c r="L25" s="4"/>
      <c r="M25" s="4"/>
      <c r="N25" s="4"/>
      <c r="O25" s="4"/>
      <c r="P25" s="4"/>
      <c r="Q25" s="5"/>
      <c r="R25" s="5"/>
    </row>
    <row r="26" spans="1:18" x14ac:dyDescent="0.3">
      <c r="A26" s="4"/>
      <c r="B26" s="4"/>
      <c r="C26" s="4"/>
      <c r="D26" s="4"/>
      <c r="E26" s="4"/>
      <c r="F26" s="4"/>
      <c r="G26" s="4"/>
      <c r="H26" s="4"/>
      <c r="I26" s="4"/>
      <c r="J26" s="4"/>
      <c r="K26" s="4"/>
      <c r="L26" s="4"/>
      <c r="M26" s="4"/>
      <c r="N26" s="4"/>
      <c r="O26" s="4"/>
      <c r="P26" s="4"/>
      <c r="Q26" s="5"/>
      <c r="R26" s="5"/>
    </row>
    <row r="27" spans="1:18" x14ac:dyDescent="0.3">
      <c r="A27" s="4"/>
      <c r="B27" s="4"/>
      <c r="C27" s="4"/>
      <c r="D27" s="4"/>
      <c r="E27" s="4"/>
      <c r="F27" s="4"/>
      <c r="G27" s="4"/>
      <c r="H27" s="4"/>
      <c r="I27" s="4"/>
      <c r="J27" s="4"/>
      <c r="K27" s="4"/>
      <c r="L27" s="4"/>
      <c r="M27" s="4"/>
      <c r="N27" s="4"/>
      <c r="O27" s="4"/>
      <c r="P27" s="4"/>
      <c r="Q27" s="5"/>
      <c r="R27" s="5"/>
    </row>
    <row r="28" spans="1:18" x14ac:dyDescent="0.3">
      <c r="A28" s="4"/>
      <c r="B28" s="4"/>
      <c r="C28" s="4"/>
      <c r="D28" s="4"/>
      <c r="E28" s="4"/>
      <c r="F28" s="4"/>
      <c r="G28" s="4"/>
      <c r="H28" s="4"/>
      <c r="I28" s="4"/>
      <c r="J28" s="4"/>
      <c r="K28" s="4"/>
      <c r="L28" s="4"/>
      <c r="M28" s="4"/>
      <c r="N28" s="4"/>
      <c r="O28" s="4"/>
      <c r="P28" s="4"/>
      <c r="Q28" s="5"/>
      <c r="R28" s="5"/>
    </row>
    <row r="29" spans="1:18" x14ac:dyDescent="0.3">
      <c r="A29" s="4"/>
      <c r="B29" s="4"/>
      <c r="C29" s="4"/>
      <c r="D29" s="4"/>
      <c r="E29" s="4"/>
      <c r="F29" s="4"/>
      <c r="G29" s="4"/>
      <c r="H29" s="4"/>
      <c r="I29" s="4"/>
      <c r="J29" s="4"/>
      <c r="K29" s="4"/>
      <c r="L29" s="4"/>
      <c r="M29" s="4"/>
      <c r="N29" s="4"/>
      <c r="O29" s="4"/>
      <c r="P29" s="4"/>
      <c r="Q29" s="5"/>
      <c r="R29" s="5"/>
    </row>
    <row r="30" spans="1:18" x14ac:dyDescent="0.3">
      <c r="A30" s="4"/>
      <c r="B30" s="4"/>
      <c r="C30" s="4"/>
      <c r="D30" s="4"/>
      <c r="E30" s="4"/>
      <c r="F30" s="4"/>
      <c r="G30" s="4"/>
      <c r="H30" s="4"/>
      <c r="I30" s="4"/>
      <c r="J30" s="4"/>
      <c r="K30" s="4"/>
      <c r="L30" s="4"/>
      <c r="M30" s="4"/>
      <c r="N30" s="4"/>
      <c r="O30" s="4"/>
      <c r="P30" s="4"/>
      <c r="Q30" s="5"/>
      <c r="R30" s="5"/>
    </row>
    <row r="31" spans="1:18" x14ac:dyDescent="0.3">
      <c r="A31" s="4"/>
      <c r="B31" s="4"/>
      <c r="C31" s="4"/>
      <c r="D31" s="4"/>
      <c r="E31" s="4"/>
      <c r="F31" s="4"/>
      <c r="G31" s="4"/>
      <c r="H31" s="4"/>
      <c r="I31" s="4"/>
      <c r="J31" s="4"/>
      <c r="K31" s="4"/>
      <c r="L31" s="4"/>
      <c r="M31" s="4"/>
      <c r="N31" s="4"/>
      <c r="O31" s="4"/>
      <c r="P31" s="4"/>
      <c r="Q31" s="5"/>
      <c r="R31" s="5"/>
    </row>
    <row r="32" spans="1:18" x14ac:dyDescent="0.3">
      <c r="A32" s="4"/>
      <c r="B32" s="4"/>
      <c r="C32" s="4"/>
      <c r="D32" s="4"/>
      <c r="E32" s="4"/>
      <c r="F32" s="4"/>
      <c r="G32" s="4"/>
      <c r="H32" s="4"/>
      <c r="I32" s="4"/>
      <c r="J32" s="4"/>
      <c r="K32" s="4"/>
      <c r="L32" s="4"/>
      <c r="M32" s="4"/>
      <c r="N32" s="4"/>
      <c r="O32" s="4"/>
      <c r="P32" s="4"/>
      <c r="Q32" s="5"/>
      <c r="R32" s="5"/>
    </row>
    <row r="33" spans="1:18" x14ac:dyDescent="0.3">
      <c r="A33" s="4"/>
      <c r="B33" s="4"/>
      <c r="C33" s="4"/>
      <c r="D33" s="4"/>
      <c r="E33" s="4"/>
      <c r="F33" s="4"/>
      <c r="G33" s="4"/>
      <c r="H33" s="4"/>
      <c r="I33" s="4"/>
      <c r="J33" s="4"/>
      <c r="K33" s="4"/>
      <c r="L33" s="4"/>
      <c r="M33" s="4"/>
      <c r="N33" s="4"/>
      <c r="O33" s="4"/>
      <c r="P33" s="4"/>
      <c r="Q33" s="5"/>
      <c r="R33" s="5"/>
    </row>
    <row r="34" spans="1:18" x14ac:dyDescent="0.3">
      <c r="A34" s="4"/>
      <c r="B34" s="4"/>
      <c r="C34" s="4"/>
      <c r="D34" s="4"/>
      <c r="E34" s="4"/>
      <c r="F34" s="4"/>
      <c r="G34" s="4"/>
      <c r="H34" s="4"/>
      <c r="I34" s="4"/>
      <c r="J34" s="4"/>
      <c r="K34" s="4"/>
      <c r="L34" s="4"/>
      <c r="M34" s="4"/>
      <c r="N34" s="4"/>
      <c r="O34" s="4"/>
      <c r="P34" s="4"/>
      <c r="Q34" s="5"/>
      <c r="R34" s="5"/>
    </row>
    <row r="35" spans="1:18" x14ac:dyDescent="0.3">
      <c r="A35" s="4"/>
      <c r="B35" s="4"/>
      <c r="C35" s="4"/>
      <c r="D35" s="4"/>
      <c r="E35" s="4"/>
      <c r="F35" s="4"/>
      <c r="G35" s="4"/>
      <c r="H35" s="4"/>
      <c r="I35" s="4"/>
      <c r="J35" s="4"/>
      <c r="K35" s="4"/>
      <c r="L35" s="4"/>
      <c r="M35" s="4"/>
      <c r="N35" s="4"/>
      <c r="O35" s="4"/>
      <c r="P35" s="4"/>
      <c r="Q35" s="5"/>
      <c r="R35" s="5"/>
    </row>
    <row r="36" spans="1:18" x14ac:dyDescent="0.3">
      <c r="A36" s="4"/>
      <c r="B36" s="4"/>
      <c r="C36" s="4"/>
      <c r="D36" s="4"/>
      <c r="E36" s="4"/>
      <c r="F36" s="4"/>
      <c r="G36" s="4"/>
      <c r="H36" s="4"/>
      <c r="I36" s="4"/>
      <c r="J36" s="4"/>
      <c r="K36" s="4"/>
      <c r="L36" s="4"/>
      <c r="M36" s="4"/>
      <c r="N36" s="4"/>
      <c r="O36" s="4"/>
      <c r="P36" s="4"/>
      <c r="Q36" s="5"/>
      <c r="R36" s="5"/>
    </row>
    <row r="37" spans="1:18" x14ac:dyDescent="0.3">
      <c r="A37" s="4"/>
      <c r="B37" s="4"/>
      <c r="C37" s="4"/>
      <c r="D37" s="4"/>
      <c r="E37" s="4"/>
      <c r="F37" s="4"/>
      <c r="G37" s="4"/>
      <c r="H37" s="4"/>
      <c r="I37" s="4"/>
      <c r="J37" s="4"/>
      <c r="K37" s="4"/>
      <c r="L37" s="4"/>
      <c r="M37" s="4"/>
      <c r="N37" s="4"/>
      <c r="O37" s="4"/>
      <c r="P37" s="4"/>
      <c r="Q37" s="5"/>
      <c r="R37" s="5"/>
    </row>
    <row r="38" spans="1:18" x14ac:dyDescent="0.3">
      <c r="A38" s="4"/>
      <c r="B38" s="4"/>
      <c r="C38" s="4"/>
      <c r="D38" s="4"/>
      <c r="E38" s="4"/>
      <c r="F38" s="4"/>
      <c r="G38" s="4"/>
      <c r="H38" s="4"/>
      <c r="I38" s="4"/>
      <c r="J38" s="4"/>
      <c r="K38" s="4"/>
      <c r="L38" s="4"/>
      <c r="M38" s="4"/>
      <c r="N38" s="4"/>
      <c r="O38" s="4"/>
      <c r="P38" s="4"/>
      <c r="Q38" s="5"/>
      <c r="R38" s="5"/>
    </row>
    <row r="39" spans="1:18" x14ac:dyDescent="0.3">
      <c r="A39" s="4"/>
      <c r="B39" s="4"/>
      <c r="C39" s="4"/>
      <c r="D39" s="4"/>
      <c r="E39" s="4"/>
      <c r="F39" s="4"/>
      <c r="G39" s="4"/>
      <c r="H39" s="4"/>
      <c r="I39" s="4"/>
      <c r="J39" s="4"/>
      <c r="K39" s="4"/>
      <c r="L39" s="4"/>
      <c r="M39" s="4"/>
      <c r="N39" s="4"/>
      <c r="O39" s="4"/>
      <c r="P39" s="4"/>
      <c r="Q39" s="5"/>
      <c r="R39" s="5"/>
    </row>
    <row r="40" spans="1:18" x14ac:dyDescent="0.3">
      <c r="A40" s="4"/>
      <c r="B40" s="4"/>
      <c r="C40" s="4"/>
      <c r="D40" s="4"/>
      <c r="E40" s="4"/>
      <c r="F40" s="4"/>
      <c r="G40" s="4"/>
      <c r="H40" s="4"/>
      <c r="I40" s="4"/>
      <c r="J40" s="4"/>
      <c r="K40" s="4"/>
      <c r="L40" s="4"/>
      <c r="M40" s="4"/>
      <c r="N40" s="4"/>
      <c r="O40" s="4"/>
      <c r="P40" s="4"/>
      <c r="Q40" s="5"/>
      <c r="R40" s="5"/>
    </row>
    <row r="41" spans="1:18" x14ac:dyDescent="0.3">
      <c r="A41" s="4"/>
      <c r="B41" s="4"/>
      <c r="C41" s="4"/>
      <c r="D41" s="4"/>
      <c r="E41" s="4"/>
      <c r="F41" s="4"/>
      <c r="G41" s="4"/>
      <c r="H41" s="4"/>
      <c r="I41" s="4"/>
      <c r="J41" s="4"/>
      <c r="K41" s="4"/>
      <c r="L41" s="4"/>
      <c r="M41" s="4"/>
      <c r="N41" s="4"/>
      <c r="O41" s="4"/>
      <c r="P41" s="4"/>
      <c r="Q41" s="5"/>
      <c r="R41" s="5"/>
    </row>
    <row r="42" spans="1:18" x14ac:dyDescent="0.3">
      <c r="A42" s="4"/>
      <c r="B42" s="4"/>
      <c r="C42" s="4"/>
      <c r="D42" s="4"/>
      <c r="E42" s="4"/>
      <c r="F42" s="4"/>
      <c r="G42" s="4"/>
      <c r="H42" s="4"/>
      <c r="I42" s="4"/>
      <c r="J42" s="4"/>
      <c r="K42" s="4"/>
      <c r="L42" s="4"/>
      <c r="M42" s="4"/>
      <c r="N42" s="4"/>
      <c r="O42" s="4"/>
      <c r="P42" s="4"/>
      <c r="Q42" s="5"/>
      <c r="R42" s="5"/>
    </row>
    <row r="43" spans="1:18" x14ac:dyDescent="0.3">
      <c r="A43" s="4"/>
      <c r="B43" s="4"/>
      <c r="C43" s="4"/>
      <c r="D43" s="4"/>
      <c r="E43" s="4"/>
      <c r="F43" s="4"/>
      <c r="G43" s="4"/>
      <c r="H43" s="4"/>
      <c r="I43" s="4"/>
      <c r="J43" s="4"/>
      <c r="K43" s="4"/>
      <c r="L43" s="4"/>
      <c r="M43" s="4"/>
      <c r="N43" s="4"/>
      <c r="O43" s="4"/>
      <c r="P43" s="4"/>
      <c r="Q43" s="5"/>
      <c r="R43" s="5"/>
    </row>
    <row r="44" spans="1:18" x14ac:dyDescent="0.3">
      <c r="A44" s="4"/>
      <c r="B44" s="4"/>
      <c r="C44" s="4"/>
      <c r="D44" s="4"/>
      <c r="E44" s="4"/>
      <c r="F44" s="4"/>
      <c r="G44" s="4"/>
      <c r="H44" s="4"/>
      <c r="I44" s="4"/>
      <c r="J44" s="4"/>
      <c r="K44" s="4"/>
      <c r="L44" s="4"/>
      <c r="M44" s="4"/>
      <c r="N44" s="4"/>
      <c r="O44" s="4"/>
      <c r="P44" s="4"/>
      <c r="Q44" s="5"/>
      <c r="R44" s="5"/>
    </row>
    <row r="45" spans="1:18" x14ac:dyDescent="0.3">
      <c r="A45" s="4"/>
      <c r="B45" s="4"/>
      <c r="C45" s="4"/>
      <c r="D45" s="4"/>
      <c r="E45" s="4"/>
      <c r="F45" s="4"/>
      <c r="G45" s="4"/>
      <c r="H45" s="4"/>
      <c r="I45" s="4"/>
      <c r="J45" s="4"/>
      <c r="K45" s="4"/>
      <c r="L45" s="4"/>
      <c r="M45" s="4"/>
      <c r="N45" s="4"/>
      <c r="O45" s="4"/>
      <c r="P45" s="4"/>
      <c r="Q45" s="5"/>
      <c r="R4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SANJANA GUPTA</cp:lastModifiedBy>
  <dcterms:created xsi:type="dcterms:W3CDTF">2026-07-27T10:02:47Z</dcterms:created>
  <dcterms:modified xsi:type="dcterms:W3CDTF">2026-08-05T08:48:25Z</dcterms:modified>
</cp:coreProperties>
</file>